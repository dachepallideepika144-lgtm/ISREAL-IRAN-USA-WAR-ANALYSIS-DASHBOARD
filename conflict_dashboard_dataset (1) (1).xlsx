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b9b37bd505fa4137/Documents/"/>
    </mc:Choice>
  </mc:AlternateContent>
  <xr:revisionPtr revIDLastSave="346" documentId="8_{DEB4486D-BF98-4B3D-93B6-BE6535B49967}" xr6:coauthVersionLast="47" xr6:coauthVersionMax="47" xr10:uidLastSave="{4DC50D3D-71EF-45FC-9E81-0C7AE2C565AE}"/>
  <bookViews>
    <workbookView xWindow="-108" yWindow="-108" windowWidth="23256" windowHeight="12456" firstSheet="1" activeTab="1" xr2:uid="{00000000-000D-0000-FFFF-FFFF00000000}"/>
  </bookViews>
  <sheets>
    <sheet name="Sites_Targeted" sheetId="1" r:id="rId1"/>
    <sheet name="Sheet1" sheetId="9" r:id="rId2"/>
    <sheet name="Missiles_Launched" sheetId="2" r:id="rId3"/>
    <sheet name="Airstrikes_Aircraft" sheetId="3" r:id="rId4"/>
    <sheet name="Cities_Impact" sheetId="4" r:id="rId5"/>
    <sheet name="Timeline_Events" sheetId="5" r:id="rId6"/>
  </sheets>
  <definedNames>
    <definedName name="Slicer_attack_type">#N/A</definedName>
    <definedName name="Slicer_country1">#N/A</definedName>
    <definedName name="Slicer_date1">#N/A</definedName>
    <definedName name="Slicer_site_type">#N/A</definedName>
  </definedNames>
  <calcPr calcId="191029"/>
  <pivotCaches>
    <pivotCache cacheId="0" r:id="rId7"/>
    <pivotCache cacheId="1" r:id="rId8"/>
    <pivotCache cacheId="2" r:id="rId9"/>
    <pivotCache cacheId="3" r:id="rId10"/>
    <pivotCache cacheId="4" r:id="rId11"/>
    <pivotCache cacheId="5" r:id="rId12"/>
    <pivotCache cacheId="6"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4" l="1"/>
  <c r="F4" i="4"/>
  <c r="F5" i="4"/>
  <c r="F6" i="4"/>
  <c r="F7" i="4"/>
  <c r="F8" i="4"/>
  <c r="F2" i="4"/>
  <c r="H6" i="4"/>
  <c r="H7" i="4"/>
  <c r="H8" i="4"/>
  <c r="H2" i="4"/>
  <c r="I3" i="4"/>
  <c r="I4" i="4"/>
  <c r="I5" i="4"/>
  <c r="I6" i="4"/>
  <c r="I7" i="4"/>
  <c r="I8" i="4"/>
  <c r="I2" i="4"/>
  <c r="I3" i="2"/>
  <c r="I4" i="2"/>
  <c r="I5" i="2"/>
  <c r="I6" i="2"/>
  <c r="I7" i="2"/>
  <c r="I2" i="2"/>
  <c r="F3" i="3"/>
  <c r="F4" i="3"/>
  <c r="F5" i="3"/>
  <c r="F6" i="3"/>
  <c r="F7" i="3"/>
  <c r="F2" i="3"/>
  <c r="H2" i="1"/>
  <c r="H3" i="1"/>
  <c r="H4" i="1"/>
  <c r="H5" i="1"/>
  <c r="H6" i="1"/>
  <c r="H7" i="1"/>
  <c r="H8" i="1"/>
  <c r="H9" i="1"/>
  <c r="H10" i="1"/>
  <c r="H11" i="1"/>
  <c r="G3" i="1"/>
  <c r="G4" i="1"/>
  <c r="G5" i="1"/>
  <c r="G6" i="1"/>
  <c r="G7" i="1"/>
  <c r="G8" i="1"/>
  <c r="G9" i="1"/>
  <c r="G10" i="1"/>
  <c r="G11" i="1"/>
  <c r="G2" i="1"/>
  <c r="H3" i="4"/>
  <c r="H4" i="4"/>
  <c r="H5" i="4"/>
  <c r="H3" i="2"/>
  <c r="H4" i="2"/>
  <c r="H5" i="2"/>
  <c r="H6" i="2"/>
  <c r="H7" i="2"/>
  <c r="H2" i="2"/>
  <c r="F3" i="2"/>
  <c r="F4" i="2"/>
  <c r="F5" i="2"/>
  <c r="F6" i="2"/>
  <c r="F7" i="2"/>
  <c r="F2" i="2"/>
  <c r="G3" i="2"/>
  <c r="G4" i="2"/>
  <c r="G5" i="2"/>
  <c r="G6" i="2"/>
  <c r="G7" i="2"/>
  <c r="G2" i="2"/>
</calcChain>
</file>

<file path=xl/sharedStrings.xml><?xml version="1.0" encoding="utf-8"?>
<sst xmlns="http://schemas.openxmlformats.org/spreadsheetml/2006/main" count="244" uniqueCount="142">
  <si>
    <t>date</t>
  </si>
  <si>
    <t>attacker</t>
  </si>
  <si>
    <t>target_country</t>
  </si>
  <si>
    <t>site_name</t>
  </si>
  <si>
    <t>site_type</t>
  </si>
  <si>
    <t>impact</t>
  </si>
  <si>
    <t>2026-02-28</t>
  </si>
  <si>
    <t>USA/Israel</t>
  </si>
  <si>
    <t>Iran</t>
  </si>
  <si>
    <t>Tehran Military HQ</t>
  </si>
  <si>
    <t>Military</t>
  </si>
  <si>
    <t>Destroyed</t>
  </si>
  <si>
    <t>Nuclear Facilities</t>
  </si>
  <si>
    <t>Nuclear</t>
  </si>
  <si>
    <t>Heavy damage</t>
  </si>
  <si>
    <t>2026-03-13</t>
  </si>
  <si>
    <t>USA</t>
  </si>
  <si>
    <t>Kharg Island</t>
  </si>
  <si>
    <t>Oil/Military</t>
  </si>
  <si>
    <t>90+ sites hit</t>
  </si>
  <si>
    <t>Israel</t>
  </si>
  <si>
    <t>Tel Aviv</t>
  </si>
  <si>
    <t>City</t>
  </si>
  <si>
    <t>Missile impact</t>
  </si>
  <si>
    <t>Northern Israel</t>
  </si>
  <si>
    <t>Missile strikes</t>
  </si>
  <si>
    <t>UAE</t>
  </si>
  <si>
    <t>Fujairah Oil Facility</t>
  </si>
  <si>
    <t>Energy</t>
  </si>
  <si>
    <t>Damaged</t>
  </si>
  <si>
    <t>Bahrain</t>
  </si>
  <si>
    <t>US Naval Base</t>
  </si>
  <si>
    <t>Targeted</t>
  </si>
  <si>
    <t>Kuwait</t>
  </si>
  <si>
    <t>US Military Base</t>
  </si>
  <si>
    <t>Struck</t>
  </si>
  <si>
    <t>Iraq</t>
  </si>
  <si>
    <t>US Consulate &amp; Airbase</t>
  </si>
  <si>
    <t>Military/Diplomatic</t>
  </si>
  <si>
    <t>Qatar</t>
  </si>
  <si>
    <t>Military Installations</t>
  </si>
  <si>
    <t>Intercepted</t>
  </si>
  <si>
    <t>country</t>
  </si>
  <si>
    <t>missile_count</t>
  </si>
  <si>
    <t>drone_count</t>
  </si>
  <si>
    <t>notes</t>
  </si>
  <si>
    <t>428</t>
  </si>
  <si>
    <t>345</t>
  </si>
  <si>
    <t>Day 1 peak</t>
  </si>
  <si>
    <t>2026-03-10</t>
  </si>
  <si>
    <t>24</t>
  </si>
  <si>
    <t>48</t>
  </si>
  <si>
    <t>Reduced capacity</t>
  </si>
  <si>
    <t>2026-03-16</t>
  </si>
  <si>
    <t>1000+</t>
  </si>
  <si>
    <t>2200+</t>
  </si>
  <si>
    <t>Cumulative</t>
  </si>
  <si>
    <t>9</t>
  </si>
  <si>
    <t>Recent daily low</t>
  </si>
  <si>
    <t>Airstrike wave</t>
  </si>
  <si>
    <t>7000+ targets hit</t>
  </si>
  <si>
    <t>aircraft_used</t>
  </si>
  <si>
    <t>airstrikes</t>
  </si>
  <si>
    <t>details</t>
  </si>
  <si>
    <t>B-2, B-1, B-52</t>
  </si>
  <si>
    <t>Strategic strikes</t>
  </si>
  <si>
    <t>Tomahawk Missiles</t>
  </si>
  <si>
    <t>Multiple</t>
  </si>
  <si>
    <t>Naval strikes</t>
  </si>
  <si>
    <t>Fighter Jets</t>
  </si>
  <si>
    <t>Hundreds</t>
  </si>
  <si>
    <t>Decapitation strikes</t>
  </si>
  <si>
    <t>2026-03-02</t>
  </si>
  <si>
    <t>Hezbollah</t>
  </si>
  <si>
    <t>Drones &amp; Missiles</t>
  </si>
  <si>
    <t>200+</t>
  </si>
  <si>
    <t>Coordinated attack</t>
  </si>
  <si>
    <t>UAVs</t>
  </si>
  <si>
    <t>2000+</t>
  </si>
  <si>
    <t>Multi-country strikes</t>
  </si>
  <si>
    <t>MQ-9 Reaper</t>
  </si>
  <si>
    <t>Some destroyed</t>
  </si>
  <si>
    <t>city</t>
  </si>
  <si>
    <t>deaths</t>
  </si>
  <si>
    <t>injured</t>
  </si>
  <si>
    <t>economic_impact</t>
  </si>
  <si>
    <t>Tehran</t>
  </si>
  <si>
    <t>4000+</t>
  </si>
  <si>
    <t>Infrastructure damage</t>
  </si>
  <si>
    <t>15+</t>
  </si>
  <si>
    <t>3000+</t>
  </si>
  <si>
    <t>Residential damage</t>
  </si>
  <si>
    <t>Dubai/Abu Dhabi</t>
  </si>
  <si>
    <t>7</t>
  </si>
  <si>
    <t>145</t>
  </si>
  <si>
    <t>Property damage</t>
  </si>
  <si>
    <t>Lebanon</t>
  </si>
  <si>
    <t>Beirut</t>
  </si>
  <si>
    <t>600+</t>
  </si>
  <si>
    <t>1500+</t>
  </si>
  <si>
    <t>Mass displacement</t>
  </si>
  <si>
    <t>Doha</t>
  </si>
  <si>
    <t>0</t>
  </si>
  <si>
    <t>16</t>
  </si>
  <si>
    <t>Airspace shutdown</t>
  </si>
  <si>
    <t>Kuwait City</t>
  </si>
  <si>
    <t>32</t>
  </si>
  <si>
    <t>Military base damage</t>
  </si>
  <si>
    <t>Erbil</t>
  </si>
  <si>
    <t>Low</t>
  </si>
  <si>
    <t>Interceptions</t>
  </si>
  <si>
    <t>event</t>
  </si>
  <si>
    <t>2025-06-13</t>
  </si>
  <si>
    <t>Israel strikes Iranian nuclear sites</t>
  </si>
  <si>
    <t>USA &amp; Israel launch airstrikes</t>
  </si>
  <si>
    <t>Iran retaliates with missiles</t>
  </si>
  <si>
    <t>Hezbollah joins conflict</t>
  </si>
  <si>
    <t>Missile launches drop</t>
  </si>
  <si>
    <t>US bombs Kharg Island</t>
  </si>
  <si>
    <t>War expands across Gulf</t>
  </si>
  <si>
    <t>Row Labels</t>
  </si>
  <si>
    <t>Grand Total</t>
  </si>
  <si>
    <t>Column Labels</t>
  </si>
  <si>
    <t>Count of missile_count</t>
  </si>
  <si>
    <t>total_attacks</t>
  </si>
  <si>
    <t>attack_type</t>
  </si>
  <si>
    <t>intensity_level</t>
  </si>
  <si>
    <t>severity</t>
  </si>
  <si>
    <t>attack_count</t>
  </si>
  <si>
    <t>priority_level</t>
  </si>
  <si>
    <t>strike_intensity</t>
  </si>
  <si>
    <t>Count of site_name</t>
  </si>
  <si>
    <t>Drone Heavy</t>
  </si>
  <si>
    <t>MissileHeavy</t>
  </si>
  <si>
    <t>Count of total_attacks</t>
  </si>
  <si>
    <t>Count of airstrikes</t>
  </si>
  <si>
    <t>Count of event</t>
  </si>
  <si>
    <t>Count of deaths</t>
  </si>
  <si>
    <t>missile_count_clean</t>
  </si>
  <si>
    <t>Sum of missile_count_clean</t>
  </si>
  <si>
    <t>total deaths</t>
  </si>
  <si>
    <t>Sum of total deaths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</si>
</sst>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pivotButton="1"/>
    <xf numFmtId="0" fontId="0" fillId="0" borderId="0" xfId="0" applyAlignment="1">
      <alignment horizontal="left"/>
    </xf>
    <xf numFmtId="0" fontId="0" fillId="3" borderId="0" xfId="0" applyFill="1"/>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4.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[conflict_dashboard_dataset (1) (1).xlsx]Sheet1!PivotTable1</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Cities Targeted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Sheet1!$C$5:$C$11</c:f>
              <c:strCache>
                <c:ptCount val="6"/>
                <c:pt idx="0">
                  <c:v>City</c:v>
                </c:pt>
                <c:pt idx="1">
                  <c:v>Energy</c:v>
                </c:pt>
                <c:pt idx="2">
                  <c:v>Military</c:v>
                </c:pt>
                <c:pt idx="3">
                  <c:v>Military/Diplomatic</c:v>
                </c:pt>
                <c:pt idx="4">
                  <c:v>Nuclear</c:v>
                </c:pt>
                <c:pt idx="5">
                  <c:v>Oil/Military</c:v>
                </c:pt>
              </c:strCache>
            </c:strRef>
          </c:cat>
          <c:val>
            <c:numRef>
              <c:f>Sheet1!$D$5:$D$11</c:f>
              <c:numCache>
                <c:formatCode>General</c:formatCode>
                <c:ptCount val="6"/>
                <c:pt idx="0">
                  <c:v>2</c:v>
                </c:pt>
                <c:pt idx="1">
                  <c:v>1</c:v>
                </c:pt>
                <c:pt idx="2">
                  <c:v>4</c:v>
                </c:pt>
                <c:pt idx="3">
                  <c:v>1</c:v>
                </c:pt>
                <c:pt idx="4">
                  <c:v>1</c:v>
                </c:pt>
                <c:pt idx="5">
                  <c:v>1</c:v>
                </c:pt>
              </c:numCache>
            </c:numRef>
          </c:val>
          <c:extLst>
            <c:ext xmlns:c16="http://schemas.microsoft.com/office/drawing/2014/chart" uri="{C3380CC4-5D6E-409C-BE32-E72D297353CC}">
              <c16:uniqueId val="{00000000-3123-44F0-9BBA-8918F9BFAFC8}"/>
            </c:ext>
          </c:extLst>
        </c:ser>
        <c:dLbls>
          <c:dLblPos val="outEnd"/>
          <c:showLegendKey val="0"/>
          <c:showVal val="1"/>
          <c:showCatName val="0"/>
          <c:showSerName val="0"/>
          <c:showPercent val="0"/>
          <c:showBubbleSize val="0"/>
        </c:dLbls>
        <c:gapWidth val="219"/>
        <c:overlap val="-27"/>
        <c:axId val="1807647"/>
        <c:axId val="1809087"/>
      </c:barChart>
      <c:catAx>
        <c:axId val="180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09087"/>
        <c:crosses val="autoZero"/>
        <c:auto val="1"/>
        <c:lblAlgn val="ctr"/>
        <c:lblOffset val="100"/>
        <c:noMultiLvlLbl val="0"/>
      </c:catAx>
      <c:valAx>
        <c:axId val="1809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07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[conflict_dashboard_dataset (1) (1).xlsx]Sheet1!PivotTable2</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Missile Trend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ln w="28575" cap="rnd">
            <a:solidFill>
              <a:schemeClr val="accent5"/>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Sheet1!$H$4</c:f>
              <c:strCache>
                <c:ptCount val="1"/>
                <c:pt idx="0">
                  <c:v>Total</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Sheet1!$G$5:$G$8</c:f>
              <c:strCache>
                <c:ptCount val="3"/>
                <c:pt idx="0">
                  <c:v>2026-02-28</c:v>
                </c:pt>
                <c:pt idx="1">
                  <c:v>2026-03-10</c:v>
                </c:pt>
                <c:pt idx="2">
                  <c:v>2026-03-16</c:v>
                </c:pt>
              </c:strCache>
            </c:strRef>
          </c:cat>
          <c:val>
            <c:numRef>
              <c:f>Sheet1!$H$5:$H$8</c:f>
              <c:numCache>
                <c:formatCode>General</c:formatCode>
                <c:ptCount val="3"/>
                <c:pt idx="0">
                  <c:v>2</c:v>
                </c:pt>
                <c:pt idx="1">
                  <c:v>1</c:v>
                </c:pt>
                <c:pt idx="2">
                  <c:v>2</c:v>
                </c:pt>
              </c:numCache>
            </c:numRef>
          </c:val>
          <c:smooth val="0"/>
          <c:extLst>
            <c:ext xmlns:c16="http://schemas.microsoft.com/office/drawing/2014/chart" uri="{C3380CC4-5D6E-409C-BE32-E72D297353CC}">
              <c16:uniqueId val="{00000000-C0DE-47F1-A7EF-5D3A10530888}"/>
            </c:ext>
          </c:extLst>
        </c:ser>
        <c:dLbls>
          <c:dLblPos val="t"/>
          <c:showLegendKey val="0"/>
          <c:showVal val="1"/>
          <c:showCatName val="0"/>
          <c:showSerName val="0"/>
          <c:showPercent val="0"/>
          <c:showBubbleSize val="0"/>
        </c:dLbls>
        <c:smooth val="0"/>
        <c:axId val="1550256975"/>
        <c:axId val="1550255055"/>
      </c:lineChart>
      <c:catAx>
        <c:axId val="155025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50255055"/>
        <c:crosses val="autoZero"/>
        <c:auto val="1"/>
        <c:lblAlgn val="ctr"/>
        <c:lblOffset val="100"/>
        <c:noMultiLvlLbl val="0"/>
      </c:catAx>
      <c:valAx>
        <c:axId val="1550255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50256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[conflict_dashboard_dataset (1) (1).xlsx]Sheet1!PivotTable3</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Air Craft Usage</a:t>
            </a:r>
          </a:p>
        </c:rich>
      </c:tx>
      <c:layout>
        <c:manualLayout>
          <c:xMode val="edge"/>
          <c:yMode val="edge"/>
          <c:x val="0.19431791067438883"/>
          <c:y val="3.28083989501312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Sheet1!$L$4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Sheet1!$K$5:$K$11</c:f>
              <c:strCache>
                <c:ptCount val="6"/>
                <c:pt idx="0">
                  <c:v>B-2, B-1, B-52</c:v>
                </c:pt>
                <c:pt idx="1">
                  <c:v>Drones &amp; Missiles</c:v>
                </c:pt>
                <c:pt idx="2">
                  <c:v>Fighter Jets</c:v>
                </c:pt>
                <c:pt idx="3">
                  <c:v>MQ-9 Reaper</c:v>
                </c:pt>
                <c:pt idx="4">
                  <c:v>Tomahawk Missiles</c:v>
                </c:pt>
                <c:pt idx="5">
                  <c:v>UAVs</c:v>
                </c:pt>
              </c:strCache>
            </c:strRef>
          </c:cat>
          <c:val>
            <c:numRef>
              <c:f>Sheet1!$L$5:$L$11</c:f>
              <c:numCache>
                <c:formatCode>General</c:formatCode>
                <c:ptCount val="6"/>
                <c:pt idx="0">
                  <c:v>1</c:v>
                </c:pt>
                <c:pt idx="1">
                  <c:v>1</c:v>
                </c:pt>
                <c:pt idx="2">
                  <c:v>1</c:v>
                </c:pt>
                <c:pt idx="4">
                  <c:v>1</c:v>
                </c:pt>
                <c:pt idx="5">
                  <c:v>1</c:v>
                </c:pt>
              </c:numCache>
            </c:numRef>
          </c:val>
          <c:extLst>
            <c:ext xmlns:c16="http://schemas.microsoft.com/office/drawing/2014/chart" uri="{C3380CC4-5D6E-409C-BE32-E72D297353CC}">
              <c16:uniqueId val="{00000000-1A49-44FC-BEED-21F2774529C1}"/>
            </c:ext>
          </c:extLst>
        </c:ser>
        <c:dLbls>
          <c:dLblPos val="ctr"/>
          <c:showLegendKey val="0"/>
          <c:showVal val="1"/>
          <c:showCatName val="0"/>
          <c:showSerName val="0"/>
          <c:showPercent val="0"/>
          <c:showBubbleSize val="0"/>
        </c:dLbls>
        <c:gapWidth val="150"/>
        <c:overlap val="100"/>
        <c:axId val="1545639231"/>
        <c:axId val="1545636831"/>
      </c:barChart>
      <c:catAx>
        <c:axId val="1545639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45636831"/>
        <c:crosses val="autoZero"/>
        <c:auto val="1"/>
        <c:lblAlgn val="ctr"/>
        <c:lblOffset val="100"/>
        <c:noMultiLvlLbl val="0"/>
      </c:catAx>
      <c:valAx>
        <c:axId val="154563683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4563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[conflict_dashboard_dataset (1) (1).xlsx]Sheet1!PivotTable4</c:name>
    <c:fmtId val="1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Time Line Events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hade val="50000"/>
            </a:schemeClr>
          </a:solidFill>
          <a:ln w="25400">
            <a:solidFill>
              <a:schemeClr val="lt1"/>
            </a:solidFill>
          </a:ln>
          <a:effectLst/>
          <a:sp3d contourW="25400">
            <a:contourClr>
              <a:schemeClr val="lt1"/>
            </a:contourClr>
          </a:sp3d>
        </c:spPr>
      </c:pivotFmt>
      <c:pivotFmt>
        <c:idx val="2"/>
        <c:spPr>
          <a:solidFill>
            <a:schemeClr val="accent5">
              <a:shade val="70000"/>
            </a:schemeClr>
          </a:solidFill>
          <a:ln w="25400">
            <a:solidFill>
              <a:schemeClr val="lt1"/>
            </a:solidFill>
          </a:ln>
          <a:effectLst/>
          <a:sp3d contourW="25400">
            <a:contourClr>
              <a:schemeClr val="lt1"/>
            </a:contourClr>
          </a:sp3d>
        </c:spPr>
      </c:pivotFmt>
      <c:pivotFmt>
        <c:idx val="3"/>
        <c:spPr>
          <a:solidFill>
            <a:schemeClr val="accent5">
              <a:shade val="90000"/>
            </a:schemeClr>
          </a:solidFill>
          <a:ln w="25400">
            <a:solidFill>
              <a:schemeClr val="lt1"/>
            </a:solidFill>
          </a:ln>
          <a:effectLst/>
          <a:sp3d contourW="25400">
            <a:contourClr>
              <a:schemeClr val="lt1"/>
            </a:contourClr>
          </a:sp3d>
        </c:spPr>
      </c:pivotFmt>
      <c:pivotFmt>
        <c:idx val="4"/>
        <c:spPr>
          <a:solidFill>
            <a:schemeClr val="accent5"/>
          </a:solidFill>
          <a:ln w="25400">
            <a:solidFill>
              <a:schemeClr val="lt1"/>
            </a:solidFill>
          </a:ln>
          <a:effectLst/>
          <a:sp3d contourW="25400">
            <a:contourClr>
              <a:schemeClr val="lt1"/>
            </a:contourClr>
          </a:sp3d>
        </c:spPr>
      </c:pivotFmt>
      <c:pivotFmt>
        <c:idx val="5"/>
        <c:spPr>
          <a:solidFill>
            <a:schemeClr val="accent5">
              <a:tint val="70000"/>
            </a:schemeClr>
          </a:solidFill>
          <a:ln w="25400">
            <a:solidFill>
              <a:schemeClr val="lt1"/>
            </a:solidFill>
          </a:ln>
          <a:effectLst/>
          <a:sp3d contourW="25400">
            <a:contourClr>
              <a:schemeClr val="lt1"/>
            </a:contourClr>
          </a:sp3d>
        </c:spPr>
      </c:pivotFmt>
      <c:pivotFmt>
        <c:idx val="6"/>
        <c:spPr>
          <a:solidFill>
            <a:schemeClr val="accent5"/>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Sheet1!$P$4</c:f>
              <c:strCache>
                <c:ptCount val="1"/>
                <c:pt idx="0">
                  <c:v>Total</c:v>
                </c:pt>
              </c:strCache>
            </c:strRef>
          </c:tx>
          <c:dPt>
            <c:idx val="0"/>
            <c:bubble3D val="0"/>
            <c:spPr>
              <a:solidFill>
                <a:schemeClr val="accent5">
                  <a:shade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D733-4E94-9D85-65016F80BBFC}"/>
              </c:ext>
            </c:extLst>
          </c:dPt>
          <c:dPt>
            <c:idx val="1"/>
            <c:bubble3D val="0"/>
            <c:spPr>
              <a:solidFill>
                <a:schemeClr val="accent5">
                  <a:shade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D733-4E94-9D85-65016F80BBFC}"/>
              </c:ext>
            </c:extLst>
          </c:dPt>
          <c:dPt>
            <c:idx val="2"/>
            <c:bubble3D val="0"/>
            <c:spPr>
              <a:solidFill>
                <a:schemeClr val="accent5">
                  <a:shade val="9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D733-4E94-9D85-65016F80BBFC}"/>
              </c:ext>
            </c:extLst>
          </c:dPt>
          <c:dPt>
            <c:idx val="3"/>
            <c:bubble3D val="0"/>
            <c:spPr>
              <a:solidFill>
                <a:schemeClr val="accent5">
                  <a:tint val="9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D733-4E94-9D85-65016F80BBFC}"/>
              </c:ext>
            </c:extLst>
          </c:dPt>
          <c:dPt>
            <c:idx val="4"/>
            <c:bubble3D val="0"/>
            <c:spPr>
              <a:solidFill>
                <a:schemeClr val="accent5">
                  <a:tint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D733-4E94-9D85-65016F80BBFC}"/>
              </c:ext>
            </c:extLst>
          </c:dPt>
          <c:dPt>
            <c:idx val="5"/>
            <c:bubble3D val="0"/>
            <c:spPr>
              <a:solidFill>
                <a:schemeClr val="accent5">
                  <a:tint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B-D733-4E94-9D85-65016F80BBFC}"/>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Sheet1!$O$5:$O$11</c:f>
              <c:strCache>
                <c:ptCount val="6"/>
                <c:pt idx="0">
                  <c:v>2025-06-13</c:v>
                </c:pt>
                <c:pt idx="1">
                  <c:v>2026-02-28</c:v>
                </c:pt>
                <c:pt idx="2">
                  <c:v>2026-03-02</c:v>
                </c:pt>
                <c:pt idx="3">
                  <c:v>2026-03-10</c:v>
                </c:pt>
                <c:pt idx="4">
                  <c:v>2026-03-13</c:v>
                </c:pt>
                <c:pt idx="5">
                  <c:v>2026-03-16</c:v>
                </c:pt>
              </c:strCache>
            </c:strRef>
          </c:cat>
          <c:val>
            <c:numRef>
              <c:f>Sheet1!$P$5:$P$11</c:f>
              <c:numCache>
                <c:formatCode>General</c:formatCode>
                <c:ptCount val="6"/>
                <c:pt idx="0">
                  <c:v>1</c:v>
                </c:pt>
                <c:pt idx="1">
                  <c:v>2</c:v>
                </c:pt>
                <c:pt idx="2">
                  <c:v>1</c:v>
                </c:pt>
                <c:pt idx="3">
                  <c:v>1</c:v>
                </c:pt>
                <c:pt idx="4">
                  <c:v>1</c:v>
                </c:pt>
                <c:pt idx="5">
                  <c:v>2</c:v>
                </c:pt>
              </c:numCache>
            </c:numRef>
          </c:val>
          <c:extLst>
            <c:ext xmlns:c16="http://schemas.microsoft.com/office/drawing/2014/chart" uri="{C3380CC4-5D6E-409C-BE32-E72D297353CC}">
              <c16:uniqueId val="{00000000-13CB-40A8-80E4-DBC269A26F05}"/>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[conflict_dashboard_dataset (1) (1).xlsx]Sheet1!PivotTable5</c:name>
    <c:fmtId val="4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Attack Type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Sheet1!$G$21:$G$22</c:f>
              <c:strCache>
                <c:ptCount val="1"/>
                <c:pt idx="0">
                  <c:v>Drone Heavy</c:v>
                </c:pt>
              </c:strCache>
            </c:strRef>
          </c:tx>
          <c:spPr>
            <a:solidFill>
              <a:schemeClr val="accent5">
                <a:shade val="76000"/>
              </a:schemeClr>
            </a:soli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Sheet1!$F$23:$F$26</c:f>
              <c:strCache>
                <c:ptCount val="3"/>
                <c:pt idx="0">
                  <c:v>Iran</c:v>
                </c:pt>
                <c:pt idx="1">
                  <c:v>USA</c:v>
                </c:pt>
                <c:pt idx="2">
                  <c:v>USA/Israel</c:v>
                </c:pt>
              </c:strCache>
            </c:strRef>
          </c:cat>
          <c:val>
            <c:numRef>
              <c:f>Sheet1!$G$23:$G$26</c:f>
              <c:numCache>
                <c:formatCode>General</c:formatCode>
                <c:ptCount val="3"/>
                <c:pt idx="0">
                  <c:v>2</c:v>
                </c:pt>
              </c:numCache>
            </c:numRef>
          </c:val>
          <c:extLst>
            <c:ext xmlns:c16="http://schemas.microsoft.com/office/drawing/2014/chart" uri="{C3380CC4-5D6E-409C-BE32-E72D297353CC}">
              <c16:uniqueId val="{00000000-C9DC-4087-97A3-CE489F152475}"/>
            </c:ext>
          </c:extLst>
        </c:ser>
        <c:ser>
          <c:idx val="1"/>
          <c:order val="1"/>
          <c:tx>
            <c:strRef>
              <c:f>Sheet1!$H$21:$H$22</c:f>
              <c:strCache>
                <c:ptCount val="1"/>
                <c:pt idx="0">
                  <c:v>MissileHeavy</c:v>
                </c:pt>
              </c:strCache>
            </c:strRef>
          </c:tx>
          <c:spPr>
            <a:solidFill>
              <a:schemeClr val="accent5">
                <a:tint val="77000"/>
              </a:schemeClr>
            </a:soli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Sheet1!$F$23:$F$26</c:f>
              <c:strCache>
                <c:ptCount val="3"/>
                <c:pt idx="0">
                  <c:v>Iran</c:v>
                </c:pt>
                <c:pt idx="1">
                  <c:v>USA</c:v>
                </c:pt>
                <c:pt idx="2">
                  <c:v>USA/Israel</c:v>
                </c:pt>
              </c:strCache>
            </c:strRef>
          </c:cat>
          <c:val>
            <c:numRef>
              <c:f>Sheet1!$H$23:$H$26</c:f>
              <c:numCache>
                <c:formatCode>General</c:formatCode>
                <c:ptCount val="3"/>
                <c:pt idx="0">
                  <c:v>2</c:v>
                </c:pt>
                <c:pt idx="1">
                  <c:v>1</c:v>
                </c:pt>
                <c:pt idx="2">
                  <c:v>1</c:v>
                </c:pt>
              </c:numCache>
            </c:numRef>
          </c:val>
          <c:extLst>
            <c:ext xmlns:c16="http://schemas.microsoft.com/office/drawing/2014/chart" uri="{C3380CC4-5D6E-409C-BE32-E72D297353CC}">
              <c16:uniqueId val="{00000001-C9DC-4087-97A3-CE489F152475}"/>
            </c:ext>
          </c:extLst>
        </c:ser>
        <c:dLbls>
          <c:showLegendKey val="0"/>
          <c:showVal val="1"/>
          <c:showCatName val="0"/>
          <c:showSerName val="0"/>
          <c:showPercent val="0"/>
          <c:showBubbleSize val="0"/>
        </c:dLbls>
        <c:gapWidth val="150"/>
        <c:shape val="box"/>
        <c:axId val="6838687"/>
        <c:axId val="6836767"/>
        <c:axId val="0"/>
      </c:bar3DChart>
      <c:catAx>
        <c:axId val="68386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836767"/>
        <c:crosses val="autoZero"/>
        <c:auto val="1"/>
        <c:lblAlgn val="ctr"/>
        <c:lblOffset val="100"/>
        <c:noMultiLvlLbl val="0"/>
      </c:catAx>
      <c:valAx>
        <c:axId val="6836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838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36</xdr:col>
      <xdr:colOff>452782</xdr:colOff>
      <xdr:row>0</xdr:row>
      <xdr:rowOff>22087</xdr:rowOff>
    </xdr:from>
    <xdr:to>
      <xdr:col>52</xdr:col>
      <xdr:colOff>596348</xdr:colOff>
      <xdr:row>35</xdr:row>
      <xdr:rowOff>143565</xdr:rowOff>
    </xdr:to>
    <xdr:sp macro="" textlink="">
      <xdr:nvSpPr>
        <xdr:cNvPr id="6" name="Rectangle 5">
          <a:extLst>
            <a:ext uri="{FF2B5EF4-FFF2-40B4-BE49-F238E27FC236}">
              <a16:creationId xmlns:a16="http://schemas.microsoft.com/office/drawing/2014/main" id="{76F7CED1-B12E-18E5-DAA3-7FC067867F55}"/>
            </a:ext>
          </a:extLst>
        </xdr:cNvPr>
        <xdr:cNvSpPr/>
      </xdr:nvSpPr>
      <xdr:spPr>
        <a:xfrm>
          <a:off x="23887043" y="22087"/>
          <a:ext cx="9861827" cy="6692348"/>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45</xdr:col>
      <xdr:colOff>179457</xdr:colOff>
      <xdr:row>23</xdr:row>
      <xdr:rowOff>96409</xdr:rowOff>
    </xdr:from>
    <xdr:to>
      <xdr:col>52</xdr:col>
      <xdr:colOff>217557</xdr:colOff>
      <xdr:row>34</xdr:row>
      <xdr:rowOff>44174</xdr:rowOff>
    </xdr:to>
    <xdr:graphicFrame macro="">
      <xdr:nvGraphicFramePr>
        <xdr:cNvPr id="2" name="Chart 1">
          <a:extLst>
            <a:ext uri="{FF2B5EF4-FFF2-40B4-BE49-F238E27FC236}">
              <a16:creationId xmlns:a16="http://schemas.microsoft.com/office/drawing/2014/main" id="{8014B3AC-228D-E433-093F-AFD070C9B2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270897</xdr:colOff>
      <xdr:row>12</xdr:row>
      <xdr:rowOff>44173</xdr:rowOff>
    </xdr:from>
    <xdr:to>
      <xdr:col>47</xdr:col>
      <xdr:colOff>103257</xdr:colOff>
      <xdr:row>23</xdr:row>
      <xdr:rowOff>84594</xdr:rowOff>
    </xdr:to>
    <xdr:graphicFrame macro="">
      <xdr:nvGraphicFramePr>
        <xdr:cNvPr id="3" name="Chart 2">
          <a:extLst>
            <a:ext uri="{FF2B5EF4-FFF2-40B4-BE49-F238E27FC236}">
              <a16:creationId xmlns:a16="http://schemas.microsoft.com/office/drawing/2014/main" id="{22E00E1B-3277-5057-0AD3-F97736389C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37</xdr:col>
      <xdr:colOff>276088</xdr:colOff>
      <xdr:row>23</xdr:row>
      <xdr:rowOff>110877</xdr:rowOff>
    </xdr:from>
    <xdr:to>
      <xdr:col>45</xdr:col>
      <xdr:colOff>167641</xdr:colOff>
      <xdr:row>34</xdr:row>
      <xdr:rowOff>34677</xdr:rowOff>
    </xdr:to>
    <xdr:graphicFrame macro="">
      <xdr:nvGraphicFramePr>
        <xdr:cNvPr id="4" name="Chart 3">
          <a:extLst>
            <a:ext uri="{FF2B5EF4-FFF2-40B4-BE49-F238E27FC236}">
              <a16:creationId xmlns:a16="http://schemas.microsoft.com/office/drawing/2014/main" id="{B74F9E70-5782-D9E0-B2DE-8F3EEFE9D0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47</xdr:col>
      <xdr:colOff>107453</xdr:colOff>
      <xdr:row>12</xdr:row>
      <xdr:rowOff>110434</xdr:rowOff>
    </xdr:from>
    <xdr:to>
      <xdr:col>52</xdr:col>
      <xdr:colOff>206513</xdr:colOff>
      <xdr:row>23</xdr:row>
      <xdr:rowOff>84593</xdr:rowOff>
    </xdr:to>
    <xdr:graphicFrame macro="">
      <xdr:nvGraphicFramePr>
        <xdr:cNvPr id="8" name="Chart 7">
          <a:extLst>
            <a:ext uri="{FF2B5EF4-FFF2-40B4-BE49-F238E27FC236}">
              <a16:creationId xmlns:a16="http://schemas.microsoft.com/office/drawing/2014/main" id="{35C851AA-9DCA-F266-64CE-D99117860A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37</xdr:col>
      <xdr:colOff>289560</xdr:colOff>
      <xdr:row>12</xdr:row>
      <xdr:rowOff>33130</xdr:rowOff>
    </xdr:from>
    <xdr:to>
      <xdr:col>41</xdr:col>
      <xdr:colOff>251460</xdr:colOff>
      <xdr:row>23</xdr:row>
      <xdr:rowOff>99392</xdr:rowOff>
    </xdr:to>
    <xdr:graphicFrame macro="">
      <xdr:nvGraphicFramePr>
        <xdr:cNvPr id="9" name="Chart 8">
          <a:extLst>
            <a:ext uri="{FF2B5EF4-FFF2-40B4-BE49-F238E27FC236}">
              <a16:creationId xmlns:a16="http://schemas.microsoft.com/office/drawing/2014/main" id="{2FCC61D3-B587-EB19-2D67-7F0936D323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45</xdr:col>
      <xdr:colOff>536823</xdr:colOff>
      <xdr:row>3</xdr:row>
      <xdr:rowOff>138264</xdr:rowOff>
    </xdr:from>
    <xdr:to>
      <xdr:col>49</xdr:col>
      <xdr:colOff>49143</xdr:colOff>
      <xdr:row>12</xdr:row>
      <xdr:rowOff>34344</xdr:rowOff>
    </xdr:to>
    <mc:AlternateContent xmlns:mc="http://schemas.openxmlformats.org/markup-compatibility/2006" xmlns:a14="http://schemas.microsoft.com/office/drawing/2010/main">
      <mc:Choice Requires="a14">
        <xdr:graphicFrame macro="">
          <xdr:nvGraphicFramePr>
            <xdr:cNvPr id="10" name="date 1">
              <a:extLst>
                <a:ext uri="{FF2B5EF4-FFF2-40B4-BE49-F238E27FC236}">
                  <a16:creationId xmlns:a16="http://schemas.microsoft.com/office/drawing/2014/main" id="{59C56CB8-1BB8-BC1D-F9F9-EA7EE8632B61}"/>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29437606" y="701481"/>
              <a:ext cx="1941885" cy="15857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313192</xdr:colOff>
      <xdr:row>3</xdr:row>
      <xdr:rowOff>173716</xdr:rowOff>
    </xdr:from>
    <xdr:to>
      <xdr:col>42</xdr:col>
      <xdr:colOff>564653</xdr:colOff>
      <xdr:row>12</xdr:row>
      <xdr:rowOff>11044</xdr:rowOff>
    </xdr:to>
    <mc:AlternateContent xmlns:mc="http://schemas.openxmlformats.org/markup-compatibility/2006" xmlns:a14="http://schemas.microsoft.com/office/drawing/2010/main">
      <mc:Choice Requires="a14">
        <xdr:graphicFrame macro="">
          <xdr:nvGraphicFramePr>
            <xdr:cNvPr id="11" name="country 1">
              <a:extLst>
                <a:ext uri="{FF2B5EF4-FFF2-40B4-BE49-F238E27FC236}">
                  <a16:creationId xmlns:a16="http://schemas.microsoft.com/office/drawing/2014/main" id="{A75E4836-F5AB-B77A-E6B3-B43715AA482D}"/>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26177018" y="736933"/>
              <a:ext cx="1466243" cy="15269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590935</xdr:colOff>
      <xdr:row>3</xdr:row>
      <xdr:rowOff>135615</xdr:rowOff>
    </xdr:from>
    <xdr:to>
      <xdr:col>45</xdr:col>
      <xdr:colOff>507998</xdr:colOff>
      <xdr:row>12</xdr:row>
      <xdr:rowOff>1</xdr:rowOff>
    </xdr:to>
    <mc:AlternateContent xmlns:mc="http://schemas.openxmlformats.org/markup-compatibility/2006" xmlns:a14="http://schemas.microsoft.com/office/drawing/2010/main">
      <mc:Choice Requires="a14">
        <xdr:graphicFrame macro="">
          <xdr:nvGraphicFramePr>
            <xdr:cNvPr id="12" name="attack_type 1">
              <a:extLst>
                <a:ext uri="{FF2B5EF4-FFF2-40B4-BE49-F238E27FC236}">
                  <a16:creationId xmlns:a16="http://schemas.microsoft.com/office/drawing/2014/main" id="{7CF53FF3-F8AA-4B6B-95BD-E8AADAE1E25E}"/>
                </a:ext>
              </a:extLst>
            </xdr:cNvPr>
            <xdr:cNvGraphicFramePr/>
          </xdr:nvGraphicFramePr>
          <xdr:xfrm>
            <a:off x="0" y="0"/>
            <a:ext cx="0" cy="0"/>
          </xdr:xfrm>
          <a:graphic>
            <a:graphicData uri="http://schemas.microsoft.com/office/drawing/2010/slicer">
              <sle:slicer xmlns:sle="http://schemas.microsoft.com/office/drawing/2010/slicer" name="attack_type 1"/>
            </a:graphicData>
          </a:graphic>
        </xdr:graphicFrame>
      </mc:Choice>
      <mc:Fallback xmlns="">
        <xdr:sp macro="" textlink="">
          <xdr:nvSpPr>
            <xdr:cNvPr id="0" name=""/>
            <xdr:cNvSpPr>
              <a:spLocks noTextEdit="1"/>
            </xdr:cNvSpPr>
          </xdr:nvSpPr>
          <xdr:spPr>
            <a:xfrm>
              <a:off x="27669544" y="698832"/>
              <a:ext cx="1739237" cy="1554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297181</xdr:colOff>
      <xdr:row>4</xdr:row>
      <xdr:rowOff>2</xdr:rowOff>
    </xdr:from>
    <xdr:to>
      <xdr:col>40</xdr:col>
      <xdr:colOff>304801</xdr:colOff>
      <xdr:row>12</xdr:row>
      <xdr:rowOff>13365</xdr:rowOff>
    </xdr:to>
    <mc:AlternateContent xmlns:mc="http://schemas.openxmlformats.org/markup-compatibility/2006" xmlns:a14="http://schemas.microsoft.com/office/drawing/2010/main">
      <mc:Choice Requires="a14">
        <xdr:graphicFrame macro="">
          <xdr:nvGraphicFramePr>
            <xdr:cNvPr id="13" name="site_type 1">
              <a:extLst>
                <a:ext uri="{FF2B5EF4-FFF2-40B4-BE49-F238E27FC236}">
                  <a16:creationId xmlns:a16="http://schemas.microsoft.com/office/drawing/2014/main" id="{4EB65D63-301B-22E2-54BA-B49198FB5830}"/>
                </a:ext>
              </a:extLst>
            </xdr:cNvPr>
            <xdr:cNvGraphicFramePr/>
          </xdr:nvGraphicFramePr>
          <xdr:xfrm>
            <a:off x="0" y="0"/>
            <a:ext cx="0" cy="0"/>
          </xdr:xfrm>
          <a:graphic>
            <a:graphicData uri="http://schemas.microsoft.com/office/drawing/2010/slicer">
              <sle:slicer xmlns:sle="http://schemas.microsoft.com/office/drawing/2010/slicer" name="site_type 1"/>
            </a:graphicData>
          </a:graphic>
        </xdr:graphicFrame>
      </mc:Choice>
      <mc:Fallback xmlns="">
        <xdr:sp macro="" textlink="">
          <xdr:nvSpPr>
            <xdr:cNvPr id="0" name=""/>
            <xdr:cNvSpPr>
              <a:spLocks noTextEdit="1"/>
            </xdr:cNvSpPr>
          </xdr:nvSpPr>
          <xdr:spPr>
            <a:xfrm>
              <a:off x="24338833" y="750959"/>
              <a:ext cx="1829794" cy="15152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49</xdr:col>
      <xdr:colOff>65157</xdr:colOff>
      <xdr:row>3</xdr:row>
      <xdr:rowOff>104803</xdr:rowOff>
    </xdr:from>
    <xdr:to>
      <xdr:col>52</xdr:col>
      <xdr:colOff>263277</xdr:colOff>
      <xdr:row>8</xdr:row>
      <xdr:rowOff>20983</xdr:rowOff>
    </xdr:to>
    <xdr:sp macro="" textlink="">
      <xdr:nvSpPr>
        <xdr:cNvPr id="14" name="Rectangle: Rounded Corners 13">
          <a:extLst>
            <a:ext uri="{FF2B5EF4-FFF2-40B4-BE49-F238E27FC236}">
              <a16:creationId xmlns:a16="http://schemas.microsoft.com/office/drawing/2014/main" id="{88B498FF-EA22-A116-1BDF-4B995495453A}"/>
            </a:ext>
          </a:extLst>
        </xdr:cNvPr>
        <xdr:cNvSpPr/>
      </xdr:nvSpPr>
      <xdr:spPr>
        <a:xfrm>
          <a:off x="31395505" y="668020"/>
          <a:ext cx="2020294" cy="854876"/>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US" sz="1800"/>
            <a:t>2461</a:t>
          </a:r>
        </a:p>
        <a:p>
          <a:pPr algn="ctr"/>
          <a:r>
            <a:rPr lang="en-US" sz="1800"/>
            <a:t>Total Deaths</a:t>
          </a:r>
          <a:endParaRPr lang="en-US" sz="1600"/>
        </a:p>
      </xdr:txBody>
    </xdr:sp>
    <xdr:clientData/>
  </xdr:twoCellAnchor>
  <xdr:twoCellAnchor>
    <xdr:from>
      <xdr:col>49</xdr:col>
      <xdr:colOff>72776</xdr:colOff>
      <xdr:row>8</xdr:row>
      <xdr:rowOff>28603</xdr:rowOff>
    </xdr:from>
    <xdr:to>
      <xdr:col>52</xdr:col>
      <xdr:colOff>225176</xdr:colOff>
      <xdr:row>12</xdr:row>
      <xdr:rowOff>112422</xdr:rowOff>
    </xdr:to>
    <xdr:sp macro="" textlink="$P$26">
      <xdr:nvSpPr>
        <xdr:cNvPr id="15" name="Rectangle: Rounded Corners 14">
          <a:extLst>
            <a:ext uri="{FF2B5EF4-FFF2-40B4-BE49-F238E27FC236}">
              <a16:creationId xmlns:a16="http://schemas.microsoft.com/office/drawing/2014/main" id="{7BD9C461-4670-F798-57E2-FF34C57F7E49}"/>
            </a:ext>
          </a:extLst>
        </xdr:cNvPr>
        <xdr:cNvSpPr/>
      </xdr:nvSpPr>
      <xdr:spPr>
        <a:xfrm>
          <a:off x="31403124" y="1530516"/>
          <a:ext cx="1974574" cy="834776"/>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fld id="{C8E20BA9-A65B-45F1-B638-83BA8C8204A3}" type="TxLink">
            <a:rPr lang="en-US" sz="2000" b="0" i="0" u="none" strike="noStrike">
              <a:solidFill>
                <a:srgbClr val="000000"/>
              </a:solidFill>
              <a:latin typeface="Calibri"/>
              <a:ea typeface="Calibri"/>
              <a:cs typeface="Calibri"/>
            </a:rPr>
            <a:pPr algn="ctr"/>
            <a:t>1622</a:t>
          </a:fld>
          <a:endParaRPr lang="en-US" sz="2000" b="0" i="0" u="none" strike="noStrike">
            <a:solidFill>
              <a:srgbClr val="000000"/>
            </a:solidFill>
            <a:latin typeface="Calibri"/>
            <a:ea typeface="Calibri"/>
            <a:cs typeface="Calibri"/>
          </a:endParaRPr>
        </a:p>
        <a:p>
          <a:pPr algn="ctr"/>
          <a:r>
            <a:rPr lang="en-US" sz="2000" b="0" i="0" u="none" strike="noStrike">
              <a:solidFill>
                <a:srgbClr val="000000"/>
              </a:solidFill>
              <a:latin typeface="Calibri"/>
              <a:ea typeface="Calibri"/>
              <a:cs typeface="Calibri"/>
            </a:rPr>
            <a:t>Missile</a:t>
          </a:r>
          <a:r>
            <a:rPr lang="en-US" sz="2000" b="0" i="0" u="none" strike="noStrike" baseline="0">
              <a:solidFill>
                <a:srgbClr val="000000"/>
              </a:solidFill>
              <a:latin typeface="Calibri"/>
              <a:ea typeface="Calibri"/>
              <a:cs typeface="Calibri"/>
            </a:rPr>
            <a:t> analysis</a:t>
          </a:r>
          <a:endParaRPr lang="en-IN" sz="1800"/>
        </a:p>
      </xdr:txBody>
    </xdr:sp>
    <xdr:clientData/>
  </xdr:twoCellAnchor>
  <xdr:twoCellAnchor>
    <xdr:from>
      <xdr:col>37</xdr:col>
      <xdr:colOff>234342</xdr:colOff>
      <xdr:row>0</xdr:row>
      <xdr:rowOff>22087</xdr:rowOff>
    </xdr:from>
    <xdr:to>
      <xdr:col>52</xdr:col>
      <xdr:colOff>142902</xdr:colOff>
      <xdr:row>3</xdr:row>
      <xdr:rowOff>52567</xdr:rowOff>
    </xdr:to>
    <xdr:sp macro="" textlink="">
      <xdr:nvSpPr>
        <xdr:cNvPr id="16" name="Rectangle: Rounded Corners 15">
          <a:extLst>
            <a:ext uri="{FF2B5EF4-FFF2-40B4-BE49-F238E27FC236}">
              <a16:creationId xmlns:a16="http://schemas.microsoft.com/office/drawing/2014/main" id="{C524FE25-BA39-6529-69B8-B971AE8DA17B}"/>
            </a:ext>
          </a:extLst>
        </xdr:cNvPr>
        <xdr:cNvSpPr/>
      </xdr:nvSpPr>
      <xdr:spPr>
        <a:xfrm>
          <a:off x="24275994" y="22087"/>
          <a:ext cx="9019430" cy="593697"/>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IN" sz="2800"/>
            <a:t>ISREAL-IRAN-USA-WAR CONFLIT</a:t>
          </a:r>
          <a:r>
            <a:rPr lang="en-IN" sz="2800" baseline="0"/>
            <a:t> ANALYTICS DASHBOARD</a:t>
          </a:r>
          <a:endParaRPr lang="en-IN" sz="28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 DACHEPALLI SIVA DEEPIKA" refreshedDate="46102.756887384261" createdVersion="8" refreshedVersion="8" minRefreshableVersion="3" recordCount="10" xr:uid="{3FB6E816-774F-4B50-8E43-DC866B0C21BE}">
  <cacheSource type="worksheet">
    <worksheetSource ref="A1:H11" sheet="Sites_Targeted"/>
  </cacheSource>
  <cacheFields count="8">
    <cacheField name="date" numFmtId="0">
      <sharedItems/>
    </cacheField>
    <cacheField name="attacker" numFmtId="0">
      <sharedItems/>
    </cacheField>
    <cacheField name="target_country" numFmtId="0">
      <sharedItems count="7">
        <s v="Iran"/>
        <s v="Israel"/>
        <s v="UAE"/>
        <s v="Bahrain"/>
        <s v="Kuwait"/>
        <s v="Iraq"/>
        <s v="Qatar"/>
      </sharedItems>
    </cacheField>
    <cacheField name="site_name" numFmtId="0">
      <sharedItems/>
    </cacheField>
    <cacheField name="site_type" numFmtId="0">
      <sharedItems count="6">
        <s v="Military"/>
        <s v="Nuclear"/>
        <s v="Oil/Military"/>
        <s v="City"/>
        <s v="Energy"/>
        <s v="Military/Diplomatic"/>
      </sharedItems>
    </cacheField>
    <cacheField name="impact" numFmtId="0">
      <sharedItems/>
    </cacheField>
    <cacheField name="attack_count" numFmtId="0">
      <sharedItems containsSemiMixedTypes="0" containsString="0" containsNumber="1" containsInteger="1" minValue="1" maxValue="1"/>
    </cacheField>
    <cacheField name="priority_level" numFmtId="0">
      <sharedItems/>
    </cacheField>
  </cacheFields>
  <extLst>
    <ext xmlns:x14="http://schemas.microsoft.com/office/spreadsheetml/2009/9/main" uri="{725AE2AE-9491-48be-B2B4-4EB974FC3084}">
      <x14:pivotCacheDefinition pivotCacheId="9632989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 DACHEPALLI SIVA DEEPIKA" refreshedDate="46102.757215509257" createdVersion="8" refreshedVersion="8" minRefreshableVersion="3" recordCount="6" xr:uid="{A85519A4-26CD-420E-91FF-0FD5999BAF0B}">
  <cacheSource type="worksheet">
    <worksheetSource ref="A1:H7" sheet="Missiles_Launched"/>
  </cacheSource>
  <cacheFields count="8">
    <cacheField name="date" numFmtId="0">
      <sharedItems count="3">
        <s v="2026-02-28"/>
        <s v="2026-03-10"/>
        <s v="2026-03-16"/>
      </sharedItems>
    </cacheField>
    <cacheField name="country" numFmtId="0">
      <sharedItems count="3">
        <s v="Iran"/>
        <s v="USA"/>
        <s v="USA/Israel"/>
      </sharedItems>
    </cacheField>
    <cacheField name="missile_count" numFmtId="0">
      <sharedItems containsBlank="1"/>
    </cacheField>
    <cacheField name="drone_count" numFmtId="0">
      <sharedItems containsBlank="1"/>
    </cacheField>
    <cacheField name="notes" numFmtId="0">
      <sharedItems count="6">
        <s v="Day 1 peak"/>
        <s v="Reduced capacity"/>
        <s v="Cumulative"/>
        <s v="Recent daily low"/>
        <s v="Airstrike wave"/>
        <s v="7000+ targets hit"/>
      </sharedItems>
    </cacheField>
    <cacheField name="total_attacks" numFmtId="0">
      <sharedItems containsMixedTypes="1" containsNumber="1" containsInteger="1" minValue="0" maxValue="773" count="5">
        <n v="773"/>
        <n v="72"/>
        <e v="#VALUE!"/>
        <n v="9"/>
        <n v="0"/>
      </sharedItems>
    </cacheField>
    <cacheField name="attack_type" numFmtId="0">
      <sharedItems count="2">
        <s v="MissileHeavy"/>
        <s v="Drone Heavy"/>
      </sharedItems>
    </cacheField>
    <cacheField name="intensity_level" numFmtId="0">
      <sharedItems/>
    </cacheField>
  </cacheFields>
  <extLst>
    <ext xmlns:x14="http://schemas.microsoft.com/office/spreadsheetml/2009/9/main" uri="{725AE2AE-9491-48be-B2B4-4EB974FC3084}">
      <x14:pivotCacheDefinition pivotCacheId="111898704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 DACHEPALLI SIVA DEEPIKA" refreshedDate="46102.757458101849" createdVersion="8" refreshedVersion="8" minRefreshableVersion="3" recordCount="6" xr:uid="{B1BF9EE0-1050-40AA-8FC9-3FE635ABBB70}">
  <cacheSource type="worksheet">
    <worksheetSource ref="A1:F7" sheet="Airstrikes_Aircraft"/>
  </cacheSource>
  <cacheFields count="6">
    <cacheField name="date" numFmtId="0">
      <sharedItems count="3">
        <s v="2026-02-28"/>
        <s v="2026-03-02"/>
        <s v="2026-03-16"/>
      </sharedItems>
    </cacheField>
    <cacheField name="country" numFmtId="0">
      <sharedItems count="4">
        <s v="USA"/>
        <s v="Israel"/>
        <s v="Hezbollah"/>
        <s v="Iran"/>
      </sharedItems>
    </cacheField>
    <cacheField name="aircraft_used" numFmtId="0">
      <sharedItems count="6">
        <s v="B-2, B-1, B-52"/>
        <s v="Tomahawk Missiles"/>
        <s v="Fighter Jets"/>
        <s v="Drones &amp; Missiles"/>
        <s v="UAVs"/>
        <s v="MQ-9 Reaper"/>
      </sharedItems>
    </cacheField>
    <cacheField name="airstrikes" numFmtId="0">
      <sharedItems containsBlank="1"/>
    </cacheField>
    <cacheField name="details" numFmtId="0">
      <sharedItems count="6">
        <s v="Strategic strikes"/>
        <s v="Naval strikes"/>
        <s v="Decapitation strikes"/>
        <s v="Coordinated attack"/>
        <s v="Multi-country strikes"/>
        <s v="Some destroyed"/>
      </sharedItems>
    </cacheField>
    <cacheField name="strike_intensity" numFmtId="0">
      <sharedItems count="2">
        <s v="High"/>
        <s v="Low"/>
      </sharedItems>
    </cacheField>
  </cacheFields>
  <extLst>
    <ext xmlns:x14="http://schemas.microsoft.com/office/spreadsheetml/2009/9/main" uri="{725AE2AE-9491-48be-B2B4-4EB974FC3084}">
      <x14:pivotCacheDefinition pivotCacheId="199374483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 DACHEPALLI SIVA DEEPIKA" refreshedDate="46102.758590972226" createdVersion="8" refreshedVersion="8" minRefreshableVersion="3" recordCount="7" xr:uid="{7EB48084-33C0-4605-81EB-861A728C1C2E}">
  <cacheSource type="worksheet">
    <worksheetSource ref="A1:E8" sheet="Cities_Impact"/>
  </cacheSource>
  <cacheFields count="5">
    <cacheField name="country" numFmtId="0">
      <sharedItems/>
    </cacheField>
    <cacheField name="city" numFmtId="0">
      <sharedItems count="7">
        <s v="Tehran"/>
        <s v="Tel Aviv"/>
        <s v="Dubai/Abu Dhabi"/>
        <s v="Beirut"/>
        <s v="Doha"/>
        <s v="Kuwait City"/>
        <s v="Erbil"/>
      </sharedItems>
    </cacheField>
    <cacheField name="deaths" numFmtId="0">
      <sharedItems containsBlank="1" count="7">
        <s v="1000+"/>
        <s v="15+"/>
        <s v="7"/>
        <s v="600+"/>
        <s v="0"/>
        <m/>
        <s v="Low"/>
      </sharedItems>
    </cacheField>
    <cacheField name="injured" numFmtId="0">
      <sharedItems count="7">
        <s v="4000+"/>
        <s v="3000+"/>
        <s v="145"/>
        <s v="1500+"/>
        <s v="16"/>
        <s v="32"/>
        <s v="Low"/>
      </sharedItems>
    </cacheField>
    <cacheField name="economic_impact" numFmtId="0">
      <sharedItems count="7">
        <s v="Infrastructure damage"/>
        <s v="Residential damage"/>
        <s v="Property damage"/>
        <s v="Mass displacement"/>
        <s v="Airspace shutdown"/>
        <s v="Military base damage"/>
        <s v="Interceptions"/>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 DACHEPALLI SIVA DEEPIKA" refreshedDate="46102.759745949072" createdVersion="8" refreshedVersion="8" minRefreshableVersion="3" recordCount="8" xr:uid="{2D42AA6A-FFFA-463D-A493-3CBE010B180B}">
  <cacheSource type="worksheet">
    <worksheetSource ref="A1:B9" sheet="Timeline_Events"/>
  </cacheSource>
  <cacheFields count="2">
    <cacheField name="date" numFmtId="0">
      <sharedItems count="6">
        <s v="2025-06-13"/>
        <s v="2026-02-28"/>
        <s v="2026-03-02"/>
        <s v="2026-03-10"/>
        <s v="2026-03-13"/>
        <s v="2026-03-16"/>
      </sharedItems>
    </cacheField>
    <cacheField name="event" numFmtId="0">
      <sharedItems count="8">
        <s v="Israel strikes Iranian nuclear sites"/>
        <s v="USA &amp; Israel launch airstrikes"/>
        <s v="Iran retaliates with missiles"/>
        <s v="Hezbollah joins conflict"/>
        <s v="Missile launches drop"/>
        <s v="US bombs Kharg Island"/>
        <s v="War expands across Gulf"/>
        <s v="7000+ targets hit"/>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 DACHEPALLI SIVA DEEPIKA" refreshedDate="46102.785042013886" createdVersion="8" refreshedVersion="8" minRefreshableVersion="3" recordCount="6" xr:uid="{AE8CBD77-C878-4DB6-8E17-B54ECC41341D}">
  <cacheSource type="worksheet">
    <worksheetSource ref="A1:I7" sheet="Missiles_Launched"/>
  </cacheSource>
  <cacheFields count="9">
    <cacheField name="date" numFmtId="0">
      <sharedItems/>
    </cacheField>
    <cacheField name="country" numFmtId="0">
      <sharedItems/>
    </cacheField>
    <cacheField name="missile_count" numFmtId="0">
      <sharedItems containsBlank="1"/>
    </cacheField>
    <cacheField name="drone_count" numFmtId="0">
      <sharedItems containsBlank="1"/>
    </cacheField>
    <cacheField name="notes" numFmtId="0">
      <sharedItems/>
    </cacheField>
    <cacheField name="total_attacks" numFmtId="0">
      <sharedItems containsMixedTypes="1" containsNumber="1" containsInteger="1" minValue="0" maxValue="773"/>
    </cacheField>
    <cacheField name="attack_type" numFmtId="0">
      <sharedItems/>
    </cacheField>
    <cacheField name="intensity_level" numFmtId="0">
      <sharedItems/>
    </cacheField>
    <cacheField name="missile_count_clean" numFmtId="0">
      <sharedItems containsSemiMixedTypes="0" containsString="0" containsNumber="1" containsInteger="1" minValue="0" maxValue="1000"/>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 DACHEPALLI SIVA DEEPIKA" refreshedDate="46102.789735995371" createdVersion="8" refreshedVersion="8" minRefreshableVersion="3" recordCount="7" xr:uid="{08413E98-35E7-4417-9FB7-1D7D7D51B206}">
  <cacheSource type="worksheet">
    <worksheetSource ref="A1:F8" sheet="Cities_Impact"/>
  </cacheSource>
  <cacheFields count="6">
    <cacheField name="country" numFmtId="0">
      <sharedItems/>
    </cacheField>
    <cacheField name="city" numFmtId="0">
      <sharedItems/>
    </cacheField>
    <cacheField name="deaths" numFmtId="0">
      <sharedItems containsBlank="1"/>
    </cacheField>
    <cacheField name="injured" numFmtId="0">
      <sharedItems/>
    </cacheField>
    <cacheField name="economic_impact" numFmtId="0">
      <sharedItems/>
    </cacheField>
    <cacheField name="total deaths" numFmtId="0">
      <sharedItems containsSemiMixedTypes="0" containsString="0" containsNumber="1" containsInteger="1" minValue="0" maxValue="1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2026-02-28"/>
    <s v="USA/Israel"/>
    <x v="0"/>
    <s v="Tehran Military HQ"/>
    <x v="0"/>
    <s v="Destroyed"/>
    <n v="1"/>
    <s v="Normal"/>
  </r>
  <r>
    <s v="2026-02-28"/>
    <s v="USA/Israel"/>
    <x v="0"/>
    <s v="Nuclear Facilities"/>
    <x v="1"/>
    <s v="Heavy damage"/>
    <n v="1"/>
    <s v="Normal"/>
  </r>
  <r>
    <s v="2026-03-13"/>
    <s v="USA"/>
    <x v="0"/>
    <s v="Kharg Island"/>
    <x v="2"/>
    <s v="90+ sites hit"/>
    <n v="1"/>
    <s v="Normal"/>
  </r>
  <r>
    <s v="2026-02-28"/>
    <s v="Iran"/>
    <x v="1"/>
    <s v="Tel Aviv"/>
    <x v="3"/>
    <s v="Missile impact"/>
    <n v="1"/>
    <s v="Normal"/>
  </r>
  <r>
    <s v="2026-02-28"/>
    <s v="Iran"/>
    <x v="1"/>
    <s v="Northern Israel"/>
    <x v="3"/>
    <s v="Missile strikes"/>
    <n v="1"/>
    <s v="Normal"/>
  </r>
  <r>
    <s v="2026-02-28"/>
    <s v="Iran"/>
    <x v="2"/>
    <s v="Fujairah Oil Facility"/>
    <x v="4"/>
    <s v="Damaged"/>
    <n v="1"/>
    <s v="Normal"/>
  </r>
  <r>
    <s v="2026-02-28"/>
    <s v="Iran"/>
    <x v="3"/>
    <s v="US Naval Base"/>
    <x v="0"/>
    <s v="Targeted"/>
    <n v="1"/>
    <s v="Normal"/>
  </r>
  <r>
    <s v="2026-02-28"/>
    <s v="Iran"/>
    <x v="4"/>
    <s v="US Military Base"/>
    <x v="0"/>
    <s v="Struck"/>
    <n v="1"/>
    <s v="Normal"/>
  </r>
  <r>
    <s v="2026-02-28"/>
    <s v="Iran"/>
    <x v="5"/>
    <s v="US Consulate &amp; Airbase"/>
    <x v="5"/>
    <s v="Targeted"/>
    <n v="1"/>
    <s v="Normal"/>
  </r>
  <r>
    <s v="2026-02-28"/>
    <s v="Iran"/>
    <x v="6"/>
    <s v="Military Installations"/>
    <x v="0"/>
    <s v="Intercepted"/>
    <n v="1"/>
    <s v="Normal"/>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s v="428"/>
    <s v="345"/>
    <x v="0"/>
    <x v="0"/>
    <x v="0"/>
    <s v="High"/>
  </r>
  <r>
    <x v="1"/>
    <x v="0"/>
    <s v="24"/>
    <s v="48"/>
    <x v="1"/>
    <x v="1"/>
    <x v="1"/>
    <s v="Low"/>
  </r>
  <r>
    <x v="2"/>
    <x v="0"/>
    <s v="1000+"/>
    <s v="2200+"/>
    <x v="2"/>
    <x v="2"/>
    <x v="1"/>
    <e v="#VALUE!"/>
  </r>
  <r>
    <x v="2"/>
    <x v="0"/>
    <s v="9"/>
    <m/>
    <x v="3"/>
    <x v="3"/>
    <x v="0"/>
    <s v="Low"/>
  </r>
  <r>
    <x v="0"/>
    <x v="1"/>
    <s v="1000+"/>
    <m/>
    <x v="4"/>
    <x v="2"/>
    <x v="0"/>
    <e v="#VALUE!"/>
  </r>
  <r>
    <x v="2"/>
    <x v="2"/>
    <m/>
    <m/>
    <x v="5"/>
    <x v="4"/>
    <x v="0"/>
    <s v="Low"/>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x v="0"/>
    <s v="1000+"/>
    <x v="0"/>
    <x v="0"/>
  </r>
  <r>
    <x v="0"/>
    <x v="0"/>
    <x v="1"/>
    <s v="Multiple"/>
    <x v="1"/>
    <x v="0"/>
  </r>
  <r>
    <x v="0"/>
    <x v="1"/>
    <x v="2"/>
    <s v="Hundreds"/>
    <x v="2"/>
    <x v="0"/>
  </r>
  <r>
    <x v="1"/>
    <x v="2"/>
    <x v="3"/>
    <s v="200+"/>
    <x v="3"/>
    <x v="0"/>
  </r>
  <r>
    <x v="2"/>
    <x v="3"/>
    <x v="4"/>
    <s v="2000+"/>
    <x v="4"/>
    <x v="0"/>
  </r>
  <r>
    <x v="2"/>
    <x v="0"/>
    <x v="5"/>
    <m/>
    <x v="5"/>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s v="Iran"/>
    <x v="0"/>
    <x v="0"/>
    <x v="0"/>
    <x v="0"/>
  </r>
  <r>
    <s v="Israel"/>
    <x v="1"/>
    <x v="1"/>
    <x v="1"/>
    <x v="1"/>
  </r>
  <r>
    <s v="UAE"/>
    <x v="2"/>
    <x v="2"/>
    <x v="2"/>
    <x v="2"/>
  </r>
  <r>
    <s v="Lebanon"/>
    <x v="3"/>
    <x v="3"/>
    <x v="3"/>
    <x v="3"/>
  </r>
  <r>
    <s v="Qatar"/>
    <x v="4"/>
    <x v="4"/>
    <x v="4"/>
    <x v="4"/>
  </r>
  <r>
    <s v="Kuwait"/>
    <x v="5"/>
    <x v="5"/>
    <x v="5"/>
    <x v="5"/>
  </r>
  <r>
    <s v="Iraq"/>
    <x v="6"/>
    <x v="6"/>
    <x v="6"/>
    <x v="6"/>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x v="0"/>
  </r>
  <r>
    <x v="1"/>
    <x v="1"/>
  </r>
  <r>
    <x v="1"/>
    <x v="2"/>
  </r>
  <r>
    <x v="2"/>
    <x v="3"/>
  </r>
  <r>
    <x v="3"/>
    <x v="4"/>
  </r>
  <r>
    <x v="4"/>
    <x v="5"/>
  </r>
  <r>
    <x v="5"/>
    <x v="6"/>
  </r>
  <r>
    <x v="5"/>
    <x v="7"/>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s v="2026-02-28"/>
    <s v="Iran"/>
    <s v="428"/>
    <s v="345"/>
    <s v="Day 1 peak"/>
    <n v="773"/>
    <s v="MissileHeavy"/>
    <s v="High"/>
    <n v="428"/>
  </r>
  <r>
    <s v="2026-03-10"/>
    <s v="Iran"/>
    <s v="24"/>
    <s v="48"/>
    <s v="Reduced capacity"/>
    <n v="72"/>
    <s v="Drone Heavy"/>
    <s v="Low"/>
    <n v="24"/>
  </r>
  <r>
    <s v="2026-03-16"/>
    <s v="Iran"/>
    <s v="1000+"/>
    <s v="2200+"/>
    <s v="Cumulative"/>
    <e v="#VALUE!"/>
    <s v="Drone Heavy"/>
    <e v="#VALUE!"/>
    <n v="1000"/>
  </r>
  <r>
    <s v="2026-03-16"/>
    <s v="Iran"/>
    <s v="9"/>
    <m/>
    <s v="Recent daily low"/>
    <n v="9"/>
    <s v="MissileHeavy"/>
    <s v="Low"/>
    <n v="9"/>
  </r>
  <r>
    <s v="2026-02-28"/>
    <s v="USA"/>
    <s v="1000+"/>
    <m/>
    <s v="Airstrike wave"/>
    <e v="#VALUE!"/>
    <s v="MissileHeavy"/>
    <e v="#VALUE!"/>
    <n v="1000"/>
  </r>
  <r>
    <s v="2026-03-16"/>
    <s v="USA/Israel"/>
    <m/>
    <m/>
    <s v="7000+ targets hit"/>
    <n v="0"/>
    <s v="MissileHeavy"/>
    <s v="Low"/>
    <n v="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s v="Iran"/>
    <s v="Tehran"/>
    <s v="1000+"/>
    <s v="4000+"/>
    <s v="Infrastructure damage"/>
    <n v="1000"/>
  </r>
  <r>
    <s v="Israel"/>
    <s v="Tel Aviv"/>
    <s v="15+"/>
    <s v="3000+"/>
    <s v="Residential damage"/>
    <n v="15"/>
  </r>
  <r>
    <s v="UAE"/>
    <s v="Dubai/Abu Dhabi"/>
    <s v="7"/>
    <s v="145"/>
    <s v="Property damage"/>
    <n v="7"/>
  </r>
  <r>
    <s v="Lebanon"/>
    <s v="Beirut"/>
    <s v="600+"/>
    <s v="1500+"/>
    <s v="Mass displacement"/>
    <n v="600"/>
  </r>
  <r>
    <s v="Qatar"/>
    <s v="Doha"/>
    <s v="0"/>
    <s v="16"/>
    <s v="Airspace shutdown"/>
    <n v="0"/>
  </r>
  <r>
    <s v="Kuwait"/>
    <s v="Kuwait City"/>
    <m/>
    <s v="32"/>
    <s v="Military base damage"/>
    <n v="0"/>
  </r>
  <r>
    <s v="Iraq"/>
    <s v="Erbil"/>
    <s v="Low"/>
    <s v="Low"/>
    <s v="Interceptions"/>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A413CA-DB57-40A6-AD1C-5EE13526C956}"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O4:P11" firstHeaderRow="1" firstDataRow="1" firstDataCol="1"/>
  <pivotFields count="2">
    <pivotField axis="axisRow" showAll="0">
      <items count="7">
        <item x="0"/>
        <item x="1"/>
        <item x="2"/>
        <item x="3"/>
        <item x="4"/>
        <item x="5"/>
        <item t="default"/>
      </items>
    </pivotField>
    <pivotField dataField="1" showAll="0">
      <items count="9">
        <item x="7"/>
        <item x="3"/>
        <item x="2"/>
        <item x="0"/>
        <item x="4"/>
        <item x="5"/>
        <item x="1"/>
        <item x="6"/>
        <item t="default"/>
      </items>
    </pivotField>
  </pivotFields>
  <rowFields count="1">
    <field x="0"/>
  </rowFields>
  <rowItems count="7">
    <i>
      <x/>
    </i>
    <i>
      <x v="1"/>
    </i>
    <i>
      <x v="2"/>
    </i>
    <i>
      <x v="3"/>
    </i>
    <i>
      <x v="4"/>
    </i>
    <i>
      <x v="5"/>
    </i>
    <i t="grand">
      <x/>
    </i>
  </rowItems>
  <colItems count="1">
    <i/>
  </colItems>
  <dataFields count="1">
    <dataField name="Count of event" fld="1" subtotal="count"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0" count="1" selected="0">
            <x v="0"/>
          </reference>
        </references>
      </pivotArea>
    </chartFormat>
    <chartFormat chart="10" format="2">
      <pivotArea type="data" outline="0" fieldPosition="0">
        <references count="2">
          <reference field="4294967294" count="1" selected="0">
            <x v="0"/>
          </reference>
          <reference field="0" count="1" selected="0">
            <x v="1"/>
          </reference>
        </references>
      </pivotArea>
    </chartFormat>
    <chartFormat chart="10" format="3">
      <pivotArea type="data" outline="0" fieldPosition="0">
        <references count="2">
          <reference field="4294967294" count="1" selected="0">
            <x v="0"/>
          </reference>
          <reference field="0" count="1" selected="0">
            <x v="2"/>
          </reference>
        </references>
      </pivotArea>
    </chartFormat>
    <chartFormat chart="10" format="4">
      <pivotArea type="data" outline="0" fieldPosition="0">
        <references count="2">
          <reference field="4294967294" count="1" selected="0">
            <x v="0"/>
          </reference>
          <reference field="0" count="1" selected="0">
            <x v="3"/>
          </reference>
        </references>
      </pivotArea>
    </chartFormat>
    <chartFormat chart="10" format="5">
      <pivotArea type="data" outline="0" fieldPosition="0">
        <references count="2">
          <reference field="4294967294" count="1" selected="0">
            <x v="0"/>
          </reference>
          <reference field="0" count="1" selected="0">
            <x v="4"/>
          </reference>
        </references>
      </pivotArea>
    </chartFormat>
    <chartFormat chart="10" format="6">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DB0D03-F688-46DF-BBDB-FEC8EEF25028}"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1:P22" firstHeaderRow="1" firstDataRow="1" firstDataCol="0"/>
  <pivotFields count="9">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missile_count_clean"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D24F09-EDFE-4995-B9F7-9506AED5BB9B}"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4:L11" firstHeaderRow="1" firstDataRow="1" firstDataCol="1"/>
  <pivotFields count="6">
    <pivotField showAll="0">
      <items count="4">
        <item x="0"/>
        <item x="1"/>
        <item x="2"/>
        <item t="default"/>
      </items>
    </pivotField>
    <pivotField showAll="0">
      <items count="5">
        <item x="2"/>
        <item x="3"/>
        <item x="1"/>
        <item x="0"/>
        <item t="default"/>
      </items>
    </pivotField>
    <pivotField axis="axisRow" showAll="0">
      <items count="7">
        <item x="0"/>
        <item x="3"/>
        <item x="2"/>
        <item x="5"/>
        <item x="1"/>
        <item x="4"/>
        <item t="default"/>
      </items>
    </pivotField>
    <pivotField dataField="1" showAll="0"/>
    <pivotField showAll="0"/>
    <pivotField showAll="0"/>
  </pivotFields>
  <rowFields count="1">
    <field x="2"/>
  </rowFields>
  <rowItems count="7">
    <i>
      <x/>
    </i>
    <i>
      <x v="1"/>
    </i>
    <i>
      <x v="2"/>
    </i>
    <i>
      <x v="3"/>
    </i>
    <i>
      <x v="4"/>
    </i>
    <i>
      <x v="5"/>
    </i>
    <i t="grand">
      <x/>
    </i>
  </rowItems>
  <colItems count="1">
    <i/>
  </colItems>
  <dataFields count="1">
    <dataField name="Count of airstrikes" fld="3"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5"/>
          </reference>
        </references>
      </pivotArea>
    </chartFormat>
    <chartFormat chart="0" format="2">
      <pivotArea type="data" outline="0" fieldPosition="0">
        <references count="2">
          <reference field="4294967294" count="1" selected="0">
            <x v="0"/>
          </reference>
          <reference field="2" count="1" selected="0">
            <x v="4"/>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0" format="5">
      <pivotArea type="data" outline="0" fieldPosition="0">
        <references count="2">
          <reference field="4294967294" count="1" selected="0">
            <x v="0"/>
          </reference>
          <reference field="2"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25F7AB-533F-40ED-8A39-25B96AA4EF90}"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5:P26" firstHeaderRow="1" firstDataRow="1" firstDataCol="0"/>
  <pivotFields count="6">
    <pivotField showAll="0"/>
    <pivotField showAll="0"/>
    <pivotField showAll="0"/>
    <pivotField showAll="0"/>
    <pivotField showAll="0"/>
    <pivotField dataField="1" showAll="0"/>
  </pivotFields>
  <rowItems count="1">
    <i/>
  </rowItems>
  <colItems count="1">
    <i/>
  </colItems>
  <dataFields count="1">
    <dataField name="Sum of total death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FA9AAD-6D68-4088-99C4-320BAACEEA39}"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1:M22" firstHeaderRow="1" firstDataRow="1" firstDataCol="0"/>
  <pivotFields count="5">
    <pivotField showAll="0"/>
    <pivotField showAll="0">
      <items count="8">
        <item x="3"/>
        <item x="4"/>
        <item x="2"/>
        <item x="6"/>
        <item x="5"/>
        <item x="0"/>
        <item x="1"/>
        <item t="default"/>
      </items>
    </pivotField>
    <pivotField dataField="1" showAll="0">
      <items count="8">
        <item x="4"/>
        <item x="0"/>
        <item x="1"/>
        <item x="3"/>
        <item x="2"/>
        <item x="6"/>
        <item x="5"/>
        <item t="default"/>
      </items>
    </pivotField>
    <pivotField showAll="0">
      <items count="8">
        <item x="2"/>
        <item x="3"/>
        <item x="4"/>
        <item x="1"/>
        <item x="5"/>
        <item x="0"/>
        <item x="6"/>
        <item t="default"/>
      </items>
    </pivotField>
    <pivotField showAll="0">
      <items count="8">
        <item x="4"/>
        <item x="0"/>
        <item x="6"/>
        <item x="3"/>
        <item x="5"/>
        <item x="2"/>
        <item x="1"/>
        <item t="default"/>
      </items>
    </pivotField>
  </pivotFields>
  <rowItems count="1">
    <i/>
  </rowItems>
  <colItems count="1">
    <i/>
  </colItems>
  <dataFields count="1">
    <dataField name="Count of deaths"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8D32F2-69AB-48CB-A46C-517BB7D3BA13}"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F21:I26" firstHeaderRow="1" firstDataRow="2" firstDataCol="1"/>
  <pivotFields count="8">
    <pivotField showAll="0">
      <items count="4">
        <item x="0"/>
        <item x="1"/>
        <item x="2"/>
        <item t="default"/>
      </items>
    </pivotField>
    <pivotField axis="axisRow" showAll="0">
      <items count="4">
        <item x="0"/>
        <item x="1"/>
        <item x="2"/>
        <item t="default"/>
      </items>
    </pivotField>
    <pivotField showAll="0"/>
    <pivotField showAll="0"/>
    <pivotField showAll="0">
      <items count="7">
        <item x="5"/>
        <item x="4"/>
        <item x="2"/>
        <item x="0"/>
        <item x="3"/>
        <item x="1"/>
        <item t="default"/>
      </items>
    </pivotField>
    <pivotField dataField="1" showAll="0"/>
    <pivotField axis="axisCol" showAll="0">
      <items count="3">
        <item x="1"/>
        <item x="0"/>
        <item t="default"/>
      </items>
    </pivotField>
    <pivotField showAll="0"/>
  </pivotFields>
  <rowFields count="1">
    <field x="1"/>
  </rowFields>
  <rowItems count="4">
    <i>
      <x/>
    </i>
    <i>
      <x v="1"/>
    </i>
    <i>
      <x v="2"/>
    </i>
    <i t="grand">
      <x/>
    </i>
  </rowItems>
  <colFields count="1">
    <field x="6"/>
  </colFields>
  <colItems count="3">
    <i>
      <x/>
    </i>
    <i>
      <x v="1"/>
    </i>
    <i t="grand">
      <x/>
    </i>
  </colItems>
  <dataFields count="1">
    <dataField name="Count of total_attacks" fld="5" subtotal="count" baseField="0" baseItem="0"/>
  </dataFields>
  <chartFormats count="7">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3">
          <reference field="4294967294" count="1" selected="0">
            <x v="0"/>
          </reference>
          <reference field="1" count="1" selected="0">
            <x v="0"/>
          </reference>
          <reference field="6" count="1" selected="0">
            <x v="1"/>
          </reference>
        </references>
      </pivotArea>
    </chartFormat>
    <chartFormat chart="0" format="3">
      <pivotArea type="data" outline="0" fieldPosition="0">
        <references count="3">
          <reference field="4294967294" count="1" selected="0">
            <x v="0"/>
          </reference>
          <reference field="1" count="1" selected="0">
            <x v="1"/>
          </reference>
          <reference field="6" count="1" selected="0">
            <x v="1"/>
          </reference>
        </references>
      </pivotArea>
    </chartFormat>
    <chartFormat chart="0" format="4">
      <pivotArea type="data" outline="0" fieldPosition="0">
        <references count="3">
          <reference field="4294967294" count="1" selected="0">
            <x v="0"/>
          </reference>
          <reference field="1" count="1" selected="0">
            <x v="2"/>
          </reference>
          <reference field="6" count="1" selected="0">
            <x v="1"/>
          </reference>
        </references>
      </pivotArea>
    </chartFormat>
    <chartFormat chart="48" format="0" series="1">
      <pivotArea type="data" outline="0" fieldPosition="0">
        <references count="2">
          <reference field="4294967294" count="1" selected="0">
            <x v="0"/>
          </reference>
          <reference field="6" count="1" selected="0">
            <x v="0"/>
          </reference>
        </references>
      </pivotArea>
    </chartFormat>
    <chartFormat chart="48" format="1"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C434503-35EF-4C38-A392-7E742635820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4:H8" firstHeaderRow="1" firstDataRow="1" firstDataCol="1"/>
  <pivotFields count="8">
    <pivotField axis="axisRow" showAll="0">
      <items count="4">
        <item x="0"/>
        <item x="1"/>
        <item x="2"/>
        <item t="default"/>
      </items>
    </pivotField>
    <pivotField showAll="0">
      <items count="4">
        <item x="0"/>
        <item x="1"/>
        <item x="2"/>
        <item t="default"/>
      </items>
    </pivotField>
    <pivotField dataField="1" showAll="0"/>
    <pivotField showAll="0"/>
    <pivotField showAll="0">
      <items count="7">
        <item x="5"/>
        <item x="4"/>
        <item x="2"/>
        <item x="0"/>
        <item x="3"/>
        <item x="1"/>
        <item t="default"/>
      </items>
    </pivotField>
    <pivotField showAll="0"/>
    <pivotField showAll="0">
      <items count="3">
        <item x="1"/>
        <item x="0"/>
        <item t="default"/>
      </items>
    </pivotField>
    <pivotField showAll="0"/>
  </pivotFields>
  <rowFields count="1">
    <field x="0"/>
  </rowFields>
  <rowItems count="4">
    <i>
      <x/>
    </i>
    <i>
      <x v="1"/>
    </i>
    <i>
      <x v="2"/>
    </i>
    <i t="grand">
      <x/>
    </i>
  </rowItems>
  <colItems count="1">
    <i/>
  </colItems>
  <dataFields count="1">
    <dataField name="Count of missile_count" fld="2" subtotal="count" baseField="0" baseItem="1"/>
  </dataFields>
  <chartFormats count="2">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9731E6-E0BF-4794-9D6B-E1CE5A3B85B0}"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C4:D11" firstHeaderRow="1" firstDataRow="1" firstDataCol="1"/>
  <pivotFields count="8">
    <pivotField showAll="0"/>
    <pivotField showAll="0"/>
    <pivotField showAll="0">
      <items count="8">
        <item x="3"/>
        <item x="0"/>
        <item x="5"/>
        <item x="1"/>
        <item x="4"/>
        <item x="6"/>
        <item x="2"/>
        <item t="default"/>
      </items>
    </pivotField>
    <pivotField dataField="1" showAll="0"/>
    <pivotField axis="axisRow" showAll="0">
      <items count="7">
        <item x="3"/>
        <item x="4"/>
        <item x="0"/>
        <item x="5"/>
        <item x="1"/>
        <item x="2"/>
        <item t="default"/>
      </items>
    </pivotField>
    <pivotField showAll="0"/>
    <pivotField showAll="0"/>
    <pivotField showAll="0"/>
  </pivotFields>
  <rowFields count="1">
    <field x="4"/>
  </rowFields>
  <rowItems count="7">
    <i>
      <x/>
    </i>
    <i>
      <x v="1"/>
    </i>
    <i>
      <x v="2"/>
    </i>
    <i>
      <x v="3"/>
    </i>
    <i>
      <x v="4"/>
    </i>
    <i>
      <x v="5"/>
    </i>
    <i t="grand">
      <x/>
    </i>
  </rowItems>
  <colItems count="1">
    <i/>
  </colItems>
  <dataFields count="1">
    <dataField name="Count of site_name" fld="3" subtotal="count"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ack_type" xr10:uid="{F433233C-F03E-441C-B5E9-75674CAEA894}" sourceName="attack_type">
  <pivotTables>
    <pivotTable tabId="9" name="PivotTable2"/>
    <pivotTable tabId="9" name="PivotTable5"/>
  </pivotTables>
  <data>
    <tabular pivotCacheId="111898704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te_type" xr10:uid="{2B76B1B0-7DBD-40D8-8095-5B093F4B7E1F}" sourceName="site_type">
  <pivotTables>
    <pivotTable tabId="9" name="PivotTable1"/>
  </pivotTables>
  <data>
    <tabular pivotCacheId="963298963">
      <items count="6">
        <i x="3" s="1"/>
        <i x="4" s="1"/>
        <i x="0" s="1"/>
        <i x="5"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1" xr10:uid="{99D96C25-E489-4E08-AD16-EA538CC9D776}" sourceName="date">
  <pivotTables>
    <pivotTable tabId="9" name="PivotTable5"/>
    <pivotTable tabId="9" name="PivotTable2"/>
  </pivotTables>
  <data>
    <tabular pivotCacheId="111898704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C9A1A534-9880-4D23-AC13-085ECF052950}" sourceName="country">
  <pivotTables>
    <pivotTable tabId="9" name="PivotTable5"/>
    <pivotTable tabId="9" name="PivotTable2"/>
  </pivotTables>
  <data>
    <tabular pivotCacheId="111898704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ack_type 1" xr10:uid="{AADDEDC3-0883-46D8-9055-E183D88B896A}" cache="Slicer_attack_type" caption="attack_type" style="SlicerStyleDark5" rowHeight="234950"/>
  <slicer name="site_type 1" xr10:uid="{E74866C9-D4C3-4D56-AB5B-2C950CE48569}" cache="Slicer_site_type" caption="site_type" columnCount="2" style="SlicerStyleDark5" rowHeight="234950"/>
  <slicer name="date 1" xr10:uid="{5003DD28-6109-416E-B134-51532FE9328C}" cache="Slicer_date1" caption="date" style="SlicerStyleDark5" rowHeight="234950"/>
  <slicer name="country 1" xr10:uid="{8174F4A6-39B1-4FC0-9BD5-60FAAC75D43A}" cache="Slicer_country1" caption="country" style="SlicerStyleDark5"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workbookViewId="0">
      <selection activeCell="I1" sqref="I1"/>
    </sheetView>
  </sheetViews>
  <sheetFormatPr defaultRowHeight="14.4" x14ac:dyDescent="0.3"/>
  <cols>
    <col min="1" max="1" width="19.44140625" customWidth="1"/>
    <col min="2" max="2" width="14" customWidth="1"/>
    <col min="3" max="3" width="15.6640625" customWidth="1"/>
    <col min="4" max="4" width="23.44140625" customWidth="1"/>
    <col min="5" max="5" width="17.109375" customWidth="1"/>
    <col min="6" max="6" width="18.77734375" customWidth="1"/>
    <col min="7" max="7" width="14.5546875" customWidth="1"/>
    <col min="8" max="8" width="14" customWidth="1"/>
    <col min="11" max="12" width="12.5546875" bestFit="1" customWidth="1"/>
  </cols>
  <sheetData>
    <row r="1" spans="1:8" x14ac:dyDescent="0.3">
      <c r="A1" s="1" t="s">
        <v>0</v>
      </c>
      <c r="B1" s="1" t="s">
        <v>1</v>
      </c>
      <c r="C1" s="1" t="s">
        <v>2</v>
      </c>
      <c r="D1" s="1" t="s">
        <v>3</v>
      </c>
      <c r="E1" s="1" t="s">
        <v>4</v>
      </c>
      <c r="F1" s="1" t="s">
        <v>5</v>
      </c>
      <c r="G1" s="1" t="s">
        <v>128</v>
      </c>
      <c r="H1" s="1" t="s">
        <v>129</v>
      </c>
    </row>
    <row r="2" spans="1:8" x14ac:dyDescent="0.3">
      <c r="A2" t="s">
        <v>6</v>
      </c>
      <c r="B2" t="s">
        <v>7</v>
      </c>
      <c r="C2" t="s">
        <v>8</v>
      </c>
      <c r="D2" t="s">
        <v>9</v>
      </c>
      <c r="E2" t="s">
        <v>10</v>
      </c>
      <c r="F2" t="s">
        <v>11</v>
      </c>
      <c r="G2">
        <f>1</f>
        <v>1</v>
      </c>
      <c r="H2" t="str">
        <f>IF(D2="Nuclear","Critical","Normal")</f>
        <v>Normal</v>
      </c>
    </row>
    <row r="3" spans="1:8" x14ac:dyDescent="0.3">
      <c r="A3" t="s">
        <v>6</v>
      </c>
      <c r="B3" t="s">
        <v>7</v>
      </c>
      <c r="C3" t="s">
        <v>8</v>
      </c>
      <c r="D3" t="s">
        <v>12</v>
      </c>
      <c r="E3" t="s">
        <v>13</v>
      </c>
      <c r="F3" t="s">
        <v>14</v>
      </c>
      <c r="G3">
        <f>1</f>
        <v>1</v>
      </c>
      <c r="H3" t="str">
        <f t="shared" ref="H3:H11" si="0">IF(D3="Nuclear","Critical","Normal")</f>
        <v>Normal</v>
      </c>
    </row>
    <row r="4" spans="1:8" x14ac:dyDescent="0.3">
      <c r="A4" t="s">
        <v>15</v>
      </c>
      <c r="B4" t="s">
        <v>16</v>
      </c>
      <c r="C4" t="s">
        <v>8</v>
      </c>
      <c r="D4" t="s">
        <v>17</v>
      </c>
      <c r="E4" t="s">
        <v>18</v>
      </c>
      <c r="F4" t="s">
        <v>19</v>
      </c>
      <c r="G4">
        <f>1</f>
        <v>1</v>
      </c>
      <c r="H4" t="str">
        <f t="shared" si="0"/>
        <v>Normal</v>
      </c>
    </row>
    <row r="5" spans="1:8" x14ac:dyDescent="0.3">
      <c r="A5" t="s">
        <v>6</v>
      </c>
      <c r="B5" t="s">
        <v>8</v>
      </c>
      <c r="C5" t="s">
        <v>20</v>
      </c>
      <c r="D5" t="s">
        <v>21</v>
      </c>
      <c r="E5" t="s">
        <v>22</v>
      </c>
      <c r="F5" t="s">
        <v>23</v>
      </c>
      <c r="G5">
        <f>1</f>
        <v>1</v>
      </c>
      <c r="H5" t="str">
        <f t="shared" si="0"/>
        <v>Normal</v>
      </c>
    </row>
    <row r="6" spans="1:8" x14ac:dyDescent="0.3">
      <c r="A6" t="s">
        <v>6</v>
      </c>
      <c r="B6" t="s">
        <v>8</v>
      </c>
      <c r="C6" t="s">
        <v>20</v>
      </c>
      <c r="D6" t="s">
        <v>24</v>
      </c>
      <c r="E6" t="s">
        <v>22</v>
      </c>
      <c r="F6" t="s">
        <v>25</v>
      </c>
      <c r="G6">
        <f>1</f>
        <v>1</v>
      </c>
      <c r="H6" t="str">
        <f t="shared" si="0"/>
        <v>Normal</v>
      </c>
    </row>
    <row r="7" spans="1:8" x14ac:dyDescent="0.3">
      <c r="A7" t="s">
        <v>6</v>
      </c>
      <c r="B7" t="s">
        <v>8</v>
      </c>
      <c r="C7" t="s">
        <v>26</v>
      </c>
      <c r="D7" t="s">
        <v>27</v>
      </c>
      <c r="E7" t="s">
        <v>28</v>
      </c>
      <c r="F7" t="s">
        <v>29</v>
      </c>
      <c r="G7">
        <f>1</f>
        <v>1</v>
      </c>
      <c r="H7" t="str">
        <f t="shared" si="0"/>
        <v>Normal</v>
      </c>
    </row>
    <row r="8" spans="1:8" x14ac:dyDescent="0.3">
      <c r="A8" t="s">
        <v>6</v>
      </c>
      <c r="B8" t="s">
        <v>8</v>
      </c>
      <c r="C8" t="s">
        <v>30</v>
      </c>
      <c r="D8" t="s">
        <v>31</v>
      </c>
      <c r="E8" t="s">
        <v>10</v>
      </c>
      <c r="F8" t="s">
        <v>32</v>
      </c>
      <c r="G8">
        <f>1</f>
        <v>1</v>
      </c>
      <c r="H8" t="str">
        <f t="shared" si="0"/>
        <v>Normal</v>
      </c>
    </row>
    <row r="9" spans="1:8" x14ac:dyDescent="0.3">
      <c r="A9" t="s">
        <v>6</v>
      </c>
      <c r="B9" t="s">
        <v>8</v>
      </c>
      <c r="C9" t="s">
        <v>33</v>
      </c>
      <c r="D9" t="s">
        <v>34</v>
      </c>
      <c r="E9" t="s">
        <v>10</v>
      </c>
      <c r="F9" t="s">
        <v>35</v>
      </c>
      <c r="G9">
        <f>1</f>
        <v>1</v>
      </c>
      <c r="H9" t="str">
        <f t="shared" si="0"/>
        <v>Normal</v>
      </c>
    </row>
    <row r="10" spans="1:8" x14ac:dyDescent="0.3">
      <c r="A10" t="s">
        <v>6</v>
      </c>
      <c r="B10" t="s">
        <v>8</v>
      </c>
      <c r="C10" t="s">
        <v>36</v>
      </c>
      <c r="D10" t="s">
        <v>37</v>
      </c>
      <c r="E10" t="s">
        <v>38</v>
      </c>
      <c r="F10" t="s">
        <v>32</v>
      </c>
      <c r="G10">
        <f>1</f>
        <v>1</v>
      </c>
      <c r="H10" t="str">
        <f t="shared" si="0"/>
        <v>Normal</v>
      </c>
    </row>
    <row r="11" spans="1:8" x14ac:dyDescent="0.3">
      <c r="A11" t="s">
        <v>6</v>
      </c>
      <c r="B11" t="s">
        <v>8</v>
      </c>
      <c r="C11" t="s">
        <v>39</v>
      </c>
      <c r="D11" t="s">
        <v>40</v>
      </c>
      <c r="E11" t="s">
        <v>10</v>
      </c>
      <c r="F11" t="s">
        <v>41</v>
      </c>
      <c r="G11">
        <f>1</f>
        <v>1</v>
      </c>
      <c r="H11" t="str">
        <f t="shared" si="0"/>
        <v>Normal</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6C67B-5BFB-4842-A29D-8FF079D4DB1A}">
  <dimension ref="C4:P26"/>
  <sheetViews>
    <sheetView showGridLines="0" tabSelected="1" topLeftCell="AE1" zoomScale="69" workbookViewId="0">
      <selection activeCell="BG23" sqref="BG23"/>
    </sheetView>
  </sheetViews>
  <sheetFormatPr defaultRowHeight="14.4" x14ac:dyDescent="0.3"/>
  <cols>
    <col min="6" max="6" width="20.77734375" bestFit="1" customWidth="1"/>
    <col min="7" max="7" width="17" bestFit="1" customWidth="1"/>
    <col min="8" max="8" width="12.33203125" bestFit="1" customWidth="1"/>
    <col min="9" max="9" width="11.21875" bestFit="1" customWidth="1"/>
    <col min="11" max="11" width="18.77734375" bestFit="1" customWidth="1"/>
    <col min="12" max="12" width="17.33203125" bestFit="1" customWidth="1"/>
  </cols>
  <sheetData>
    <row r="4" spans="3:16" x14ac:dyDescent="0.3">
      <c r="C4" s="2" t="s">
        <v>120</v>
      </c>
      <c r="D4" t="s">
        <v>131</v>
      </c>
      <c r="G4" s="2" t="s">
        <v>120</v>
      </c>
      <c r="H4" t="s">
        <v>123</v>
      </c>
      <c r="K4" s="2" t="s">
        <v>120</v>
      </c>
      <c r="L4" t="s">
        <v>135</v>
      </c>
      <c r="O4" s="2" t="s">
        <v>120</v>
      </c>
      <c r="P4" t="s">
        <v>136</v>
      </c>
    </row>
    <row r="5" spans="3:16" x14ac:dyDescent="0.3">
      <c r="C5" s="3" t="s">
        <v>22</v>
      </c>
      <c r="D5" s="5">
        <v>2</v>
      </c>
      <c r="G5" s="3" t="s">
        <v>6</v>
      </c>
      <c r="H5" s="5">
        <v>2</v>
      </c>
      <c r="K5" s="3" t="s">
        <v>64</v>
      </c>
      <c r="L5" s="5">
        <v>1</v>
      </c>
      <c r="O5" s="3" t="s">
        <v>112</v>
      </c>
      <c r="P5">
        <v>1</v>
      </c>
    </row>
    <row r="6" spans="3:16" x14ac:dyDescent="0.3">
      <c r="C6" s="3" t="s">
        <v>28</v>
      </c>
      <c r="D6" s="5">
        <v>1</v>
      </c>
      <c r="G6" s="3" t="s">
        <v>49</v>
      </c>
      <c r="H6" s="5">
        <v>1</v>
      </c>
      <c r="K6" s="3" t="s">
        <v>74</v>
      </c>
      <c r="L6" s="5">
        <v>1</v>
      </c>
      <c r="O6" s="3" t="s">
        <v>6</v>
      </c>
      <c r="P6">
        <v>2</v>
      </c>
    </row>
    <row r="7" spans="3:16" x14ac:dyDescent="0.3">
      <c r="C7" s="3" t="s">
        <v>10</v>
      </c>
      <c r="D7" s="5">
        <v>4</v>
      </c>
      <c r="G7" s="3" t="s">
        <v>53</v>
      </c>
      <c r="H7" s="5">
        <v>2</v>
      </c>
      <c r="K7" s="3" t="s">
        <v>69</v>
      </c>
      <c r="L7" s="5">
        <v>1</v>
      </c>
      <c r="O7" s="3" t="s">
        <v>72</v>
      </c>
      <c r="P7">
        <v>1</v>
      </c>
    </row>
    <row r="8" spans="3:16" x14ac:dyDescent="0.3">
      <c r="C8" s="3" t="s">
        <v>38</v>
      </c>
      <c r="D8" s="5">
        <v>1</v>
      </c>
      <c r="G8" s="3" t="s">
        <v>121</v>
      </c>
      <c r="H8" s="5">
        <v>5</v>
      </c>
      <c r="K8" s="3" t="s">
        <v>80</v>
      </c>
      <c r="L8" s="5"/>
      <c r="O8" s="3" t="s">
        <v>49</v>
      </c>
      <c r="P8">
        <v>1</v>
      </c>
    </row>
    <row r="9" spans="3:16" x14ac:dyDescent="0.3">
      <c r="C9" s="3" t="s">
        <v>13</v>
      </c>
      <c r="D9" s="5">
        <v>1</v>
      </c>
      <c r="K9" s="3" t="s">
        <v>66</v>
      </c>
      <c r="L9" s="5">
        <v>1</v>
      </c>
      <c r="O9" s="3" t="s">
        <v>15</v>
      </c>
      <c r="P9">
        <v>1</v>
      </c>
    </row>
    <row r="10" spans="3:16" x14ac:dyDescent="0.3">
      <c r="C10" s="3" t="s">
        <v>18</v>
      </c>
      <c r="D10" s="5">
        <v>1</v>
      </c>
      <c r="K10" s="3" t="s">
        <v>77</v>
      </c>
      <c r="L10" s="5">
        <v>1</v>
      </c>
      <c r="O10" s="3" t="s">
        <v>53</v>
      </c>
      <c r="P10">
        <v>2</v>
      </c>
    </row>
    <row r="11" spans="3:16" x14ac:dyDescent="0.3">
      <c r="C11" s="3" t="s">
        <v>121</v>
      </c>
      <c r="D11" s="5">
        <v>10</v>
      </c>
      <c r="K11" s="3" t="s">
        <v>121</v>
      </c>
      <c r="L11" s="5">
        <v>5</v>
      </c>
      <c r="O11" s="3" t="s">
        <v>121</v>
      </c>
      <c r="P11">
        <v>8</v>
      </c>
    </row>
    <row r="21" spans="6:16" x14ac:dyDescent="0.3">
      <c r="F21" s="2" t="s">
        <v>134</v>
      </c>
      <c r="G21" s="2" t="s">
        <v>122</v>
      </c>
      <c r="M21" t="s">
        <v>137</v>
      </c>
      <c r="P21" t="s">
        <v>139</v>
      </c>
    </row>
    <row r="22" spans="6:16" x14ac:dyDescent="0.3">
      <c r="F22" s="2" t="s">
        <v>120</v>
      </c>
      <c r="G22" t="s">
        <v>132</v>
      </c>
      <c r="H22" t="s">
        <v>133</v>
      </c>
      <c r="I22" t="s">
        <v>121</v>
      </c>
      <c r="M22">
        <v>6</v>
      </c>
      <c r="P22">
        <v>2461</v>
      </c>
    </row>
    <row r="23" spans="6:16" x14ac:dyDescent="0.3">
      <c r="F23" s="3" t="s">
        <v>8</v>
      </c>
      <c r="G23" s="5">
        <v>2</v>
      </c>
      <c r="H23" s="5">
        <v>2</v>
      </c>
      <c r="I23" s="5">
        <v>4</v>
      </c>
    </row>
    <row r="24" spans="6:16" x14ac:dyDescent="0.3">
      <c r="F24" s="3" t="s">
        <v>16</v>
      </c>
      <c r="G24" s="5"/>
      <c r="H24" s="5">
        <v>1</v>
      </c>
      <c r="I24" s="5">
        <v>1</v>
      </c>
    </row>
    <row r="25" spans="6:16" x14ac:dyDescent="0.3">
      <c r="F25" s="3" t="s">
        <v>7</v>
      </c>
      <c r="G25" s="5"/>
      <c r="H25" s="5">
        <v>1</v>
      </c>
      <c r="I25" s="5">
        <v>1</v>
      </c>
      <c r="P25" t="s">
        <v>141</v>
      </c>
    </row>
    <row r="26" spans="6:16" x14ac:dyDescent="0.3">
      <c r="F26" s="3" t="s">
        <v>121</v>
      </c>
      <c r="G26" s="5">
        <v>2</v>
      </c>
      <c r="H26" s="5">
        <v>4</v>
      </c>
      <c r="I26" s="5">
        <v>6</v>
      </c>
      <c r="P26">
        <v>1622</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H15" sqref="H14:H15"/>
    </sheetView>
  </sheetViews>
  <sheetFormatPr defaultRowHeight="14.4" x14ac:dyDescent="0.3"/>
  <cols>
    <col min="1" max="1" width="14.44140625" customWidth="1"/>
    <col min="3" max="3" width="18" customWidth="1"/>
    <col min="4" max="4" width="23.21875" customWidth="1"/>
    <col min="5" max="5" width="16.77734375" customWidth="1"/>
    <col min="6" max="6" width="12.5546875" bestFit="1" customWidth="1"/>
    <col min="7" max="7" width="15.33203125" bestFit="1" customWidth="1"/>
    <col min="8" max="8" width="24.6640625" bestFit="1" customWidth="1"/>
    <col min="9" max="9" width="12.5546875" bestFit="1" customWidth="1"/>
  </cols>
  <sheetData>
    <row r="1" spans="1:9" x14ac:dyDescent="0.3">
      <c r="A1" s="1" t="s">
        <v>0</v>
      </c>
      <c r="B1" s="1" t="s">
        <v>42</v>
      </c>
      <c r="C1" s="1" t="s">
        <v>43</v>
      </c>
      <c r="D1" s="1" t="s">
        <v>44</v>
      </c>
      <c r="E1" s="1" t="s">
        <v>45</v>
      </c>
      <c r="F1" s="1" t="s">
        <v>124</v>
      </c>
      <c r="G1" s="1" t="s">
        <v>125</v>
      </c>
      <c r="H1" s="1" t="s">
        <v>126</v>
      </c>
      <c r="I1" s="1" t="s">
        <v>138</v>
      </c>
    </row>
    <row r="2" spans="1:9" x14ac:dyDescent="0.3">
      <c r="A2" t="s">
        <v>6</v>
      </c>
      <c r="B2" t="s">
        <v>8</v>
      </c>
      <c r="C2" t="s">
        <v>46</v>
      </c>
      <c r="D2" t="s">
        <v>47</v>
      </c>
      <c r="E2" t="s">
        <v>48</v>
      </c>
      <c r="F2">
        <f>C2+D2</f>
        <v>773</v>
      </c>
      <c r="G2" t="str">
        <f>IF(D2&gt;C2,"Drone Heavy","MissileHeavy")</f>
        <v>MissileHeavy</v>
      </c>
      <c r="H2" t="str">
        <f>IF(F2&gt;300,"High","Low")</f>
        <v>High</v>
      </c>
      <c r="I2">
        <f>IFERROR(VALUE(SUBSTITUTE(C2,"+"," ")),0)</f>
        <v>428</v>
      </c>
    </row>
    <row r="3" spans="1:9" x14ac:dyDescent="0.3">
      <c r="A3" t="s">
        <v>49</v>
      </c>
      <c r="B3" t="s">
        <v>8</v>
      </c>
      <c r="C3" t="s">
        <v>50</v>
      </c>
      <c r="D3" t="s">
        <v>51</v>
      </c>
      <c r="E3" t="s">
        <v>52</v>
      </c>
      <c r="F3">
        <f t="shared" ref="F3:F7" si="0">C3+D3</f>
        <v>72</v>
      </c>
      <c r="G3" t="str">
        <f t="shared" ref="G3:G7" si="1">IF(D3&gt;C3,"Drone Heavy","MissileHeavy")</f>
        <v>Drone Heavy</v>
      </c>
      <c r="H3" t="str">
        <f t="shared" ref="H3:H7" si="2">IF(F3&gt;300,"High","Low")</f>
        <v>Low</v>
      </c>
      <c r="I3">
        <f t="shared" ref="I3:I7" si="3">IFERROR(VALUE(SUBSTITUTE(C3,"+"," ")),0)</f>
        <v>24</v>
      </c>
    </row>
    <row r="4" spans="1:9" x14ac:dyDescent="0.3">
      <c r="A4" t="s">
        <v>53</v>
      </c>
      <c r="B4" t="s">
        <v>8</v>
      </c>
      <c r="C4" t="s">
        <v>54</v>
      </c>
      <c r="D4" t="s">
        <v>55</v>
      </c>
      <c r="E4" t="s">
        <v>56</v>
      </c>
      <c r="F4" t="e">
        <f t="shared" si="0"/>
        <v>#VALUE!</v>
      </c>
      <c r="G4" t="str">
        <f t="shared" si="1"/>
        <v>Drone Heavy</v>
      </c>
      <c r="H4" t="e">
        <f t="shared" si="2"/>
        <v>#VALUE!</v>
      </c>
      <c r="I4">
        <f t="shared" si="3"/>
        <v>1000</v>
      </c>
    </row>
    <row r="5" spans="1:9" x14ac:dyDescent="0.3">
      <c r="A5" t="s">
        <v>53</v>
      </c>
      <c r="B5" t="s">
        <v>8</v>
      </c>
      <c r="C5" t="s">
        <v>57</v>
      </c>
      <c r="E5" t="s">
        <v>58</v>
      </c>
      <c r="F5">
        <f t="shared" si="0"/>
        <v>9</v>
      </c>
      <c r="G5" t="str">
        <f t="shared" si="1"/>
        <v>MissileHeavy</v>
      </c>
      <c r="H5" t="str">
        <f t="shared" si="2"/>
        <v>Low</v>
      </c>
      <c r="I5">
        <f t="shared" si="3"/>
        <v>9</v>
      </c>
    </row>
    <row r="6" spans="1:9" x14ac:dyDescent="0.3">
      <c r="A6" t="s">
        <v>6</v>
      </c>
      <c r="B6" t="s">
        <v>16</v>
      </c>
      <c r="C6" t="s">
        <v>54</v>
      </c>
      <c r="E6" t="s">
        <v>59</v>
      </c>
      <c r="F6" t="e">
        <f t="shared" si="0"/>
        <v>#VALUE!</v>
      </c>
      <c r="G6" t="str">
        <f t="shared" si="1"/>
        <v>MissileHeavy</v>
      </c>
      <c r="H6" t="e">
        <f t="shared" si="2"/>
        <v>#VALUE!</v>
      </c>
      <c r="I6">
        <f t="shared" si="3"/>
        <v>1000</v>
      </c>
    </row>
    <row r="7" spans="1:9" x14ac:dyDescent="0.3">
      <c r="A7" t="s">
        <v>53</v>
      </c>
      <c r="B7" t="s">
        <v>7</v>
      </c>
      <c r="E7" t="s">
        <v>60</v>
      </c>
      <c r="F7">
        <f t="shared" si="0"/>
        <v>0</v>
      </c>
      <c r="G7" t="str">
        <f t="shared" si="1"/>
        <v>MissileHeavy</v>
      </c>
      <c r="H7" t="str">
        <f t="shared" si="2"/>
        <v>Low</v>
      </c>
      <c r="I7">
        <f t="shared" si="3"/>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
  <sheetViews>
    <sheetView workbookViewId="0">
      <selection activeCell="J10" sqref="J8:J15"/>
    </sheetView>
  </sheetViews>
  <sheetFormatPr defaultRowHeight="14.4" x14ac:dyDescent="0.3"/>
  <cols>
    <col min="1" max="1" width="15.88671875" customWidth="1"/>
    <col min="3" max="3" width="20.21875" customWidth="1"/>
    <col min="5" max="5" width="19" customWidth="1"/>
    <col min="6" max="6" width="15" customWidth="1"/>
    <col min="10" max="11" width="16.88671875" bestFit="1" customWidth="1"/>
  </cols>
  <sheetData>
    <row r="1" spans="1:7" x14ac:dyDescent="0.3">
      <c r="A1" s="1" t="s">
        <v>0</v>
      </c>
      <c r="B1" s="1" t="s">
        <v>42</v>
      </c>
      <c r="C1" s="1" t="s">
        <v>61</v>
      </c>
      <c r="D1" s="1" t="s">
        <v>62</v>
      </c>
      <c r="E1" s="1" t="s">
        <v>63</v>
      </c>
      <c r="F1" s="1" t="s">
        <v>130</v>
      </c>
      <c r="G1" s="4"/>
    </row>
    <row r="2" spans="1:7" x14ac:dyDescent="0.3">
      <c r="A2" t="s">
        <v>6</v>
      </c>
      <c r="B2" t="s">
        <v>16</v>
      </c>
      <c r="C2" t="s">
        <v>64</v>
      </c>
      <c r="D2" t="s">
        <v>54</v>
      </c>
      <c r="E2" t="s">
        <v>65</v>
      </c>
      <c r="F2" t="str">
        <f>IF(D2&gt;500,"High","Low")</f>
        <v>High</v>
      </c>
    </row>
    <row r="3" spans="1:7" x14ac:dyDescent="0.3">
      <c r="A3" t="s">
        <v>6</v>
      </c>
      <c r="B3" t="s">
        <v>16</v>
      </c>
      <c r="C3" t="s">
        <v>66</v>
      </c>
      <c r="D3" t="s">
        <v>67</v>
      </c>
      <c r="E3" t="s">
        <v>68</v>
      </c>
      <c r="F3" t="str">
        <f t="shared" ref="F3:F7" si="0">IF(D3&gt;500,"High","Low")</f>
        <v>High</v>
      </c>
    </row>
    <row r="4" spans="1:7" x14ac:dyDescent="0.3">
      <c r="A4" t="s">
        <v>6</v>
      </c>
      <c r="B4" t="s">
        <v>20</v>
      </c>
      <c r="C4" t="s">
        <v>69</v>
      </c>
      <c r="D4" t="s">
        <v>70</v>
      </c>
      <c r="E4" t="s">
        <v>71</v>
      </c>
      <c r="F4" t="str">
        <f t="shared" si="0"/>
        <v>High</v>
      </c>
    </row>
    <row r="5" spans="1:7" x14ac:dyDescent="0.3">
      <c r="A5" t="s">
        <v>72</v>
      </c>
      <c r="B5" t="s">
        <v>73</v>
      </c>
      <c r="C5" t="s">
        <v>74</v>
      </c>
      <c r="D5" t="s">
        <v>75</v>
      </c>
      <c r="E5" t="s">
        <v>76</v>
      </c>
      <c r="F5" t="str">
        <f t="shared" si="0"/>
        <v>High</v>
      </c>
    </row>
    <row r="6" spans="1:7" x14ac:dyDescent="0.3">
      <c r="A6" t="s">
        <v>53</v>
      </c>
      <c r="B6" t="s">
        <v>8</v>
      </c>
      <c r="C6" t="s">
        <v>77</v>
      </c>
      <c r="D6" t="s">
        <v>78</v>
      </c>
      <c r="E6" t="s">
        <v>79</v>
      </c>
      <c r="F6" t="str">
        <f t="shared" si="0"/>
        <v>High</v>
      </c>
    </row>
    <row r="7" spans="1:7" x14ac:dyDescent="0.3">
      <c r="A7" t="s">
        <v>53</v>
      </c>
      <c r="B7" t="s">
        <v>16</v>
      </c>
      <c r="C7" t="s">
        <v>80</v>
      </c>
      <c r="E7" t="s">
        <v>81</v>
      </c>
      <c r="F7" t="str">
        <f t="shared" si="0"/>
        <v>Low</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8"/>
  <sheetViews>
    <sheetView workbookViewId="0">
      <selection activeCell="E12" sqref="E12:E13"/>
    </sheetView>
  </sheetViews>
  <sheetFormatPr defaultRowHeight="14.4" x14ac:dyDescent="0.3"/>
  <cols>
    <col min="2" max="2" width="18.88671875" customWidth="1"/>
    <col min="5" max="5" width="17.6640625" bestFit="1" customWidth="1"/>
    <col min="6" max="6" width="11.77734375" customWidth="1"/>
    <col min="7" max="7" width="15.44140625" customWidth="1"/>
    <col min="13" max="13" width="12.5546875" bestFit="1" customWidth="1"/>
  </cols>
  <sheetData>
    <row r="1" spans="1:9" x14ac:dyDescent="0.3">
      <c r="A1" s="1" t="s">
        <v>42</v>
      </c>
      <c r="B1" s="1" t="s">
        <v>82</v>
      </c>
      <c r="C1" s="1" t="s">
        <v>83</v>
      </c>
      <c r="D1" s="1" t="s">
        <v>84</v>
      </c>
      <c r="E1" s="1" t="s">
        <v>85</v>
      </c>
      <c r="F1" s="1" t="s">
        <v>140</v>
      </c>
      <c r="G1" s="4"/>
      <c r="H1" s="1" t="s">
        <v>127</v>
      </c>
      <c r="I1" s="1" t="s">
        <v>140</v>
      </c>
    </row>
    <row r="2" spans="1:9" x14ac:dyDescent="0.3">
      <c r="A2" t="s">
        <v>8</v>
      </c>
      <c r="B2" t="s">
        <v>86</v>
      </c>
      <c r="C2" t="s">
        <v>54</v>
      </c>
      <c r="D2" t="s">
        <v>87</v>
      </c>
      <c r="E2" t="s">
        <v>88</v>
      </c>
      <c r="F2">
        <f>IFERROR(VALUE(SUBSTITUTE(C2,"+"," ")),0)</f>
        <v>1000</v>
      </c>
      <c r="H2" t="str">
        <f>IF(G2&gt;2000,"Servere","Moderate")</f>
        <v>Moderate</v>
      </c>
      <c r="I2">
        <f>IFERROR(VALUE(SUBSTITUTE(C2,"+"," ")),0)</f>
        <v>1000</v>
      </c>
    </row>
    <row r="3" spans="1:9" x14ac:dyDescent="0.3">
      <c r="A3" t="s">
        <v>20</v>
      </c>
      <c r="B3" t="s">
        <v>21</v>
      </c>
      <c r="C3" t="s">
        <v>89</v>
      </c>
      <c r="D3" t="s">
        <v>90</v>
      </c>
      <c r="E3" t="s">
        <v>91</v>
      </c>
      <c r="F3">
        <f t="shared" ref="F3:F8" si="0">IFERROR(VALUE(SUBSTITUTE(C3,"+"," ")),0)</f>
        <v>15</v>
      </c>
      <c r="H3" t="str">
        <f t="shared" ref="H3:H8" si="1">IF(G3&gt;2000,"Servere","Moderate")</f>
        <v>Moderate</v>
      </c>
      <c r="I3">
        <f t="shared" ref="I3:I8" si="2">IFERROR(VALUE(SUBSTITUTE(C3,"+"," ")),0)</f>
        <v>15</v>
      </c>
    </row>
    <row r="4" spans="1:9" x14ac:dyDescent="0.3">
      <c r="A4" t="s">
        <v>26</v>
      </c>
      <c r="B4" t="s">
        <v>92</v>
      </c>
      <c r="C4" t="s">
        <v>93</v>
      </c>
      <c r="D4" t="s">
        <v>94</v>
      </c>
      <c r="E4" t="s">
        <v>95</v>
      </c>
      <c r="F4">
        <f t="shared" si="0"/>
        <v>7</v>
      </c>
      <c r="H4" t="str">
        <f t="shared" si="1"/>
        <v>Moderate</v>
      </c>
      <c r="I4">
        <f t="shared" si="2"/>
        <v>7</v>
      </c>
    </row>
    <row r="5" spans="1:9" x14ac:dyDescent="0.3">
      <c r="A5" t="s">
        <v>96</v>
      </c>
      <c r="B5" t="s">
        <v>97</v>
      </c>
      <c r="C5" t="s">
        <v>98</v>
      </c>
      <c r="D5" t="s">
        <v>99</v>
      </c>
      <c r="E5" t="s">
        <v>100</v>
      </c>
      <c r="F5">
        <f t="shared" si="0"/>
        <v>600</v>
      </c>
      <c r="H5" t="str">
        <f t="shared" si="1"/>
        <v>Moderate</v>
      </c>
      <c r="I5">
        <f t="shared" si="2"/>
        <v>600</v>
      </c>
    </row>
    <row r="6" spans="1:9" x14ac:dyDescent="0.3">
      <c r="A6" t="s">
        <v>39</v>
      </c>
      <c r="B6" t="s">
        <v>101</v>
      </c>
      <c r="C6" t="s">
        <v>102</v>
      </c>
      <c r="D6" t="s">
        <v>103</v>
      </c>
      <c r="E6" t="s">
        <v>104</v>
      </c>
      <c r="F6">
        <f t="shared" si="0"/>
        <v>0</v>
      </c>
      <c r="H6" t="str">
        <f t="shared" si="1"/>
        <v>Moderate</v>
      </c>
      <c r="I6">
        <f t="shared" si="2"/>
        <v>0</v>
      </c>
    </row>
    <row r="7" spans="1:9" x14ac:dyDescent="0.3">
      <c r="A7" t="s">
        <v>33</v>
      </c>
      <c r="B7" t="s">
        <v>105</v>
      </c>
      <c r="D7" t="s">
        <v>106</v>
      </c>
      <c r="E7" t="s">
        <v>107</v>
      </c>
      <c r="F7">
        <f t="shared" si="0"/>
        <v>0</v>
      </c>
      <c r="H7" t="str">
        <f t="shared" si="1"/>
        <v>Moderate</v>
      </c>
      <c r="I7">
        <f t="shared" si="2"/>
        <v>0</v>
      </c>
    </row>
    <row r="8" spans="1:9" x14ac:dyDescent="0.3">
      <c r="A8" t="s">
        <v>36</v>
      </c>
      <c r="B8" t="s">
        <v>108</v>
      </c>
      <c r="C8" t="s">
        <v>109</v>
      </c>
      <c r="D8" t="s">
        <v>109</v>
      </c>
      <c r="E8" t="s">
        <v>110</v>
      </c>
      <c r="F8">
        <f t="shared" si="0"/>
        <v>0</v>
      </c>
      <c r="H8" t="str">
        <f t="shared" si="1"/>
        <v>Moderate</v>
      </c>
      <c r="I8">
        <f t="shared" si="2"/>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9"/>
  <sheetViews>
    <sheetView workbookViewId="0">
      <selection activeCell="J7" sqref="J4:J13"/>
    </sheetView>
  </sheetViews>
  <sheetFormatPr defaultRowHeight="14.4" x14ac:dyDescent="0.3"/>
  <cols>
    <col min="1" max="1" width="16.44140625" customWidth="1"/>
    <col min="2" max="2" width="33.6640625" customWidth="1"/>
    <col min="10" max="10" width="28.21875" bestFit="1" customWidth="1"/>
    <col min="11" max="11" width="12.5546875" bestFit="1" customWidth="1"/>
  </cols>
  <sheetData>
    <row r="1" spans="1:3" x14ac:dyDescent="0.3">
      <c r="A1" s="1" t="s">
        <v>0</v>
      </c>
      <c r="B1" s="1" t="s">
        <v>111</v>
      </c>
      <c r="C1" s="4"/>
    </row>
    <row r="2" spans="1:3" x14ac:dyDescent="0.3">
      <c r="A2" t="s">
        <v>112</v>
      </c>
      <c r="B2" t="s">
        <v>113</v>
      </c>
    </row>
    <row r="3" spans="1:3" x14ac:dyDescent="0.3">
      <c r="A3" t="s">
        <v>6</v>
      </c>
      <c r="B3" t="s">
        <v>114</v>
      </c>
    </row>
    <row r="4" spans="1:3" x14ac:dyDescent="0.3">
      <c r="A4" t="s">
        <v>6</v>
      </c>
      <c r="B4" t="s">
        <v>115</v>
      </c>
    </row>
    <row r="5" spans="1:3" x14ac:dyDescent="0.3">
      <c r="A5" t="s">
        <v>72</v>
      </c>
      <c r="B5" t="s">
        <v>116</v>
      </c>
    </row>
    <row r="6" spans="1:3" x14ac:dyDescent="0.3">
      <c r="A6" t="s">
        <v>49</v>
      </c>
      <c r="B6" t="s">
        <v>117</v>
      </c>
    </row>
    <row r="7" spans="1:3" x14ac:dyDescent="0.3">
      <c r="A7" t="s">
        <v>15</v>
      </c>
      <c r="B7" t="s">
        <v>118</v>
      </c>
    </row>
    <row r="8" spans="1:3" x14ac:dyDescent="0.3">
      <c r="A8" t="s">
        <v>53</v>
      </c>
      <c r="B8" t="s">
        <v>119</v>
      </c>
    </row>
    <row r="9" spans="1:3" x14ac:dyDescent="0.3">
      <c r="A9" t="s">
        <v>53</v>
      </c>
      <c r="B9" t="s">
        <v>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Sites_Targeted</vt:lpstr>
      <vt:lpstr>Sheet1</vt:lpstr>
      <vt:lpstr>Missiles_Launched</vt:lpstr>
      <vt:lpstr>Airstrikes_Aircraft</vt:lpstr>
      <vt:lpstr>Cities_Impact</vt:lpstr>
      <vt:lpstr>Timeline_Events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 DACHEPALLI SIVA DEEPIKA</cp:lastModifiedBy>
  <dcterms:created xsi:type="dcterms:W3CDTF">2026-03-17T06:00:46Z</dcterms:created>
  <dcterms:modified xsi:type="dcterms:W3CDTF">2026-03-24T13:00:32Z</dcterms:modified>
</cp:coreProperties>
</file>